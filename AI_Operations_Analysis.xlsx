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ira\Desktop\AI-Expert-Marketplace-Operations-Optimization\"/>
    </mc:Choice>
  </mc:AlternateContent>
  <xr:revisionPtr revIDLastSave="0" documentId="13_ncr:1_{5A6FF1FA-B400-42CB-B979-902CC9417290}" xr6:coauthVersionLast="47" xr6:coauthVersionMax="47" xr10:uidLastSave="{00000000-0000-0000-0000-000000000000}"/>
  <bookViews>
    <workbookView xWindow="-108" yWindow="-108" windowWidth="23256" windowHeight="12456" xr2:uid="{B9BE3371-2B64-4A62-B220-59EF484EC067}"/>
  </bookViews>
  <sheets>
    <sheet name="Avg Cost per task" sheetId="7" r:id="rId1"/>
    <sheet name="Avg Productivity" sheetId="8" r:id="rId2"/>
    <sheet name="Avg Completion Rate" sheetId="5" r:id="rId3"/>
    <sheet name="AvgQualityIndex" sheetId="9" r:id="rId4"/>
    <sheet name="Data" sheetId="1" r:id="rId5"/>
    <sheet name="StrategicSummary" sheetId="2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<sst xmlns="http://schemas.openxmlformats.org/spreadsheetml/2006/main" count="475" uniqueCount="235">
  <si>
    <t>Expert_ID</t>
  </si>
  <si>
    <t>Domain</t>
  </si>
  <si>
    <t>Onboarding_Days</t>
  </si>
  <si>
    <t>Tasks_Assigned</t>
  </si>
  <si>
    <t>Tasks_Completed</t>
  </si>
  <si>
    <t>Quality_Score</t>
  </si>
  <si>
    <t>Hourly_Cost</t>
  </si>
  <si>
    <t>Completion Rate % (Tasks_Completed/Tasks_Assigned)</t>
  </si>
  <si>
    <t>Cost per Task (Hourly_Cost / Tasks_Completed)</t>
  </si>
  <si>
    <t>Productivity (Tasks_Completed / Onboarding_Days)</t>
  </si>
  <si>
    <t>Quality Index = Completion Rate × Quality_Score</t>
  </si>
  <si>
    <t>Performance Tier</t>
  </si>
  <si>
    <t>Quality Index &gt; 4.0 ? Top Performer
3.2–4.0 ? Solid Performer
&lt;3.2 ? At Risk</t>
  </si>
  <si>
    <t>E001</t>
  </si>
  <si>
    <t>Coding</t>
  </si>
  <si>
    <t>E002</t>
  </si>
  <si>
    <t>Healthcare</t>
  </si>
  <si>
    <t>E003</t>
  </si>
  <si>
    <t>Legal</t>
  </si>
  <si>
    <t>E004</t>
  </si>
  <si>
    <t>E005</t>
  </si>
  <si>
    <t>Finance</t>
  </si>
  <si>
    <t>E006</t>
  </si>
  <si>
    <t>E007</t>
  </si>
  <si>
    <t>Education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</si>
  <si>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</si>
  <si>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</si>
  <si>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</si>
  <si>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</si>
  <si>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</si>
  <si>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</si>
  <si>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</si>
  <si>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</si>
  <si>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</si>
  <si>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</si>
  <si>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</si>
  <si>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</si>
  <si>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</si>
  <si>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</si>
  <si>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</si>
  <si>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</si>
  <si>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</si>
  <si>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</si>
  <si>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</si>
  <si>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</si>
  <si>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</si>
  <si>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</si>
  <si>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</si>
  <si>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</si>
  <si>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</si>
  <si>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</si>
  <si>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</si>
  <si>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</si>
  <si>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</si>
  <si>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</si>
  <si>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</si>
  <si>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</si>
  <si>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</si>
  <si>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</si>
  <si>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</si>
  <si>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</si>
  <si>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</si>
  <si>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</si>
  <si>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</si>
  <si>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</si>
  <si>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</si>
  <si>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</si>
  <si>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</si>
  <si>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</si>
  <si>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</si>
  <si>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</si>
  <si>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</si>
  <si>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</si>
  <si>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</si>
  <si>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</si>
  <si>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</si>
  <si>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</si>
  <si>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</si>
  <si>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</si>
  <si>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</si>
  <si>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</si>
  <si>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</si>
  <si>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</si>
  <si>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</si>
  <si>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</si>
  <si>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</si>
  <si>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</si>
  <si>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</si>
  <si>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</si>
  <si>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</si>
  <si>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</si>
  <si>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</si>
  <si>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</si>
  <si>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</si>
  <si>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</si>
  <si>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</si>
  <si>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</si>
  <si>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</si>
  <si>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</si>
  <si>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</si>
  <si>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</si>
  <si>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</si>
  <si>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</si>
  <si>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</si>
  <si>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</si>
  <si>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</si>
  <si>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</si>
  <si>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</si>
  <si>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</si>
  <si>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</si>
  <si>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</si>
  <si>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</si>
  <si>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</si>
  <si>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</si>
  <si>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</si>
  <si>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</si>
  <si>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</si>
  <si>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</si>
  <si>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</si>
  <si>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</si>
  <si>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</si>
  <si>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</si>
  <si>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</si>
  <si>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</si>
  <si>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</si>
  <si>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</si>
  <si>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</si>
  <si>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</si>
  <si>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</si>
  <si>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</si>
  <si>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</si>
  <si>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</si>
  <si>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</si>
  <si>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</si>
  <si>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</si>
  <si>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</si>
  <si>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</si>
  <si>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</si>
  <si>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</si>
  <si>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</si>
  <si>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</si>
  <si>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</si>
  <si>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</si>
  <si>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</si>
  <si>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</si>
  <si>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</si>
  <si>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</si>
  <si>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</si>
  <si>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</si>
  <si>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</si>
  <si>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</si>
  <si>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</si>
  <si>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</si>
  <si>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</si>
  <si>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</si>
  <si>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</si>
  <si>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</si>
  <si>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</si>
  <si>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</si>
  <si>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</si>
  <si>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</si>
  <si>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</si>
  <si>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</si>
  <si>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</si>
  <si>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</si>
  <si>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</si>
  <si>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</si>
  <si>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</si>
  <si>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</si>
  <si>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</si>
  <si>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</si>
  <si>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</si>
  <si>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</si>
  <si>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</si>
  <si>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</si>
  <si>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</si>
  <si>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</si>
  <si>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</si>
  <si>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</si>
  <si>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</si>
  <si>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</si>
  <si>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</si>
  <si>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</si>
  <si>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</si>
  <si>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</si>
  <si>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</si>
  <si>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</si>
  <si>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</si>
  <si>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</si>
  <si>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</si>
  <si>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</si>
  <si>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</si>
  <si>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</si>
  <si>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</si>
  <si>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</si>
  <si>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</si>
  <si>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</si>
  <si>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</si>
  <si>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</si>
  <si>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</si>
  <si>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</si>
  <si>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</si>
  <si>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</si>
  <si>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</si>
  <si>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</si>
  <si>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</si>
  <si>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</si>
  <si>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</si>
  <si>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</si>
  <si>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</si>
  <si>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</si>
  <si>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</si>
  <si>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</si>
  <si>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</si>
  <si>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</si>
  <si>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</si>
  <si>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</si>
  <si>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</si>
  <si>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Reliability</t>
  </si>
  <si>
    <t>Speed</t>
  </si>
  <si>
    <t>Cost</t>
  </si>
  <si>
    <t>Quality</t>
  </si>
  <si>
    <t>High</t>
  </si>
  <si>
    <t>Medium</t>
  </si>
  <si>
    <t>Best overall</t>
  </si>
  <si>
    <t>Low</t>
  </si>
  <si>
    <t>Cheap</t>
  </si>
  <si>
    <t>Reliable</t>
  </si>
  <si>
    <t>Slow</t>
  </si>
  <si>
    <t>Expensive</t>
  </si>
  <si>
    <t>Grand Total</t>
  </si>
  <si>
    <t>Average of Completion Rate % (Tasks_Completed/Tasks_Assigned)</t>
  </si>
  <si>
    <t>Average Cost per Task (Hourly_Cost / Tasks_Completed)</t>
  </si>
  <si>
    <t>Average of Productivity (Tasks_Completed / Onboarding_Days)</t>
  </si>
  <si>
    <t>Average of Quality Index = Completion Rate × 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</si>
</sst>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0" fillId="5" borderId="1" xfId="0" applyFill="1" applyBorder="1"/>
    <xf numFmtId="0" fontId="2" fillId="6" borderId="1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CF67C3"/>
      <color rgb="FFC246B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[AI_Operations_Analysis.xlsx]Avg Cost per task!PivotTable4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Cost per Task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Cost per task'!$B$3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Cost per task'!$A$4:$A$9</c:f>
              <c:strCache>
                <c:ptCount val="5"/>
                <c:pt idx="0">
                  <c:v>Legal</c:v>
                </c:pt>
                <c:pt idx="1">
                  <c:v>Healthcare</c:v>
                </c:pt>
                <c:pt idx="2">
                  <c:v>Coding</c:v>
                </c:pt>
                <c:pt idx="3">
                  <c:v>Finance</c:v>
                </c:pt>
                <c:pt idx="4">
                  <c:v>Education</c:v>
                </c:pt>
              </c:strCache>
            </c:strRef>
          </c:cat>
          <c:val>
            <c:numRef>
              <c:f>'Avg Cost per task'!$B$4:$B$9</c:f>
              <c:numCache>
                <c:formatCode>0.00</c:formatCode>
                <c:ptCount val="5"/>
                <c:pt idx="0">
                  <c:v>1.6626315789473678</c:v>
                </c:pt>
                <c:pt idx="1">
                  <c:v>1.4746341463414634</c:v>
                </c:pt>
                <c:pt idx="2">
                  <c:v>1.425238095238095</c:v>
                </c:pt>
                <c:pt idx="3">
                  <c:v>1.404186046511628</c:v>
                </c:pt>
                <c:pt idx="4">
                  <c:v>1.2613888888888889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A4-4C85-A465-699EE13120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8975551"/>
        <c:axId val="1378984671"/>
      </c:barChart>
      <c:catAx>
        <c:axId val="137897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84671"/>
        <c:crosses val="autoZero"/>
        <c:auto val="1"/>
        <c:lblAlgn val="ctr"/>
        <c:lblOffset val="100"/>
        <c:noMultiLvlLbl val="0"/>
      </c:catAx>
      <c:valAx>
        <c:axId val="137898467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7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[AI_Operations_Analysis.xlsx]Avg Productivity!PivotTable5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Productivity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Productivity'!$B$3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Productivity'!$A$4:$A$9</c:f>
              <c:strCache>
                <c:ptCount val="5"/>
                <c:pt idx="0">
                  <c:v>Healthcare</c:v>
                </c:pt>
                <c:pt idx="1">
                  <c:v>Coding</c:v>
                </c:pt>
                <c:pt idx="2">
                  <c:v>Finance</c:v>
                </c:pt>
                <c:pt idx="3">
                  <c:v>Education</c:v>
                </c:pt>
                <c:pt idx="4">
                  <c:v>Legal</c:v>
                </c:pt>
              </c:strCache>
            </c:strRef>
          </c:cat>
          <c:val>
            <c:numRef>
              <c:f>'Avg Productivity'!$B$4:$B$9</c:f>
              <c:numCache>
                <c:formatCode>0.00</c:formatCode>
                <c:ptCount val="5"/>
                <c:pt idx="0">
                  <c:v>14.557073170731705</c:v>
                </c:pt>
                <c:pt idx="1">
                  <c:v>14.555476190476192</c:v>
                </c:pt>
                <c:pt idx="2">
                  <c:v>13.38767441860465</c:v>
                </c:pt>
                <c:pt idx="3">
                  <c:v>9.4608333333333334</c:v>
                </c:pt>
                <c:pt idx="4">
                  <c:v>7.2492105263157889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9-44F9-8A49-2CD44252B7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26632383"/>
        <c:axId val="1226632863"/>
      </c:barChart>
      <c:catAx>
        <c:axId val="122663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632863"/>
        <c:crosses val="autoZero"/>
        <c:auto val="1"/>
        <c:lblAlgn val="ctr"/>
        <c:lblOffset val="100"/>
        <c:noMultiLvlLbl val="0"/>
      </c:catAx>
      <c:valAx>
        <c:axId val="122663286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63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[AI_Operations_Analysis.xlsx]Avg Completion Rate!PivotTable3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of Completion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Completion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'Avg Completion Rate'!$A$4:$A$9</c:f>
              <c:strCache>
                <c:ptCount val="5"/>
                <c:pt idx="0">
                  <c:v>Legal</c:v>
                </c:pt>
                <c:pt idx="1">
                  <c:v>Coding</c:v>
                </c:pt>
                <c:pt idx="2">
                  <c:v>Healthcare</c:v>
                </c:pt>
                <c:pt idx="3">
                  <c:v>Finance</c:v>
                </c:pt>
                <c:pt idx="4">
                  <c:v>Education</c:v>
                </c:pt>
              </c:strCache>
            </c:strRef>
          </c:cat>
          <c:val>
            <c:numRef>
              <c:f>'Avg Completion Rate'!$B$4:$B$9</c:f>
              <c:numCache>
                <c:formatCode>0.00</c:formatCode>
                <c:ptCount val="5"/>
                <c:pt idx="0">
                  <c:v>80.564736842105276</c:v>
                </c:pt>
                <c:pt idx="1">
                  <c:v>80.429047619047623</c:v>
                </c:pt>
                <c:pt idx="2">
                  <c:v>79.556829268292688</c:v>
                </c:pt>
                <c:pt idx="3">
                  <c:v>79.423023255813959</c:v>
                </c:pt>
                <c:pt idx="4">
                  <c:v>78.026111111111106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4-4D34-A204-B8A3AFE2A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963551"/>
        <c:axId val="1378954431"/>
      </c:barChart>
      <c:catAx>
        <c:axId val="13789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54431"/>
        <c:crosses val="autoZero"/>
        <c:auto val="1"/>
        <c:lblAlgn val="ctr"/>
        <c:lblOffset val="100"/>
        <c:noMultiLvlLbl val="0"/>
      </c:catAx>
      <c:valAx>
        <c:axId val="13789544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9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[AI_Operations_Analysis.xlsx]AvgQualityIndex!PivotTable6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Quality Index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F67C3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AvgQualityIndex!$B$3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F67C3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AvgQualityIndex!$A$4:$A$9</c:f>
              <c:strCache>
                <c:ptCount val="5"/>
                <c:pt idx="0">
                  <c:v>Coding</c:v>
                </c:pt>
                <c:pt idx="1">
                  <c:v>Legal</c:v>
                </c:pt>
                <c:pt idx="2">
                  <c:v>Finance</c:v>
                </c:pt>
                <c:pt idx="3">
                  <c:v>Healthcare</c:v>
                </c:pt>
                <c:pt idx="4">
                  <c:v>Education</c:v>
                </c:pt>
              </c:strCache>
            </c:strRef>
          </c:cat>
          <c:val>
            <c:numRef>
              <c:f>AvgQualityIndex!$B$4:$B$9</c:f>
              <c:numCache>
                <c:formatCode>0.00</c:formatCode>
                <c:ptCount val="5"/>
                <c:pt idx="0">
                  <c:v>3.5430952380952383</c:v>
                </c:pt>
                <c:pt idx="1">
                  <c:v>3.4000000000000004</c:v>
                </c:pt>
                <c:pt idx="2">
                  <c:v>3.3753488372093021</c:v>
                </c:pt>
                <c:pt idx="3">
                  <c:v>3.3734146341463416</c:v>
                </c:pt>
                <c:pt idx="4">
                  <c:v>3.2369444444444451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4-4863-80A7-A17CDF1A7D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1166511"/>
        <c:axId val="821166991"/>
      </c:barChart>
      <c:catAx>
        <c:axId val="82116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66991"/>
        <c:crosses val="autoZero"/>
        <c:auto val="1"/>
        <c:lblAlgn val="ctr"/>
        <c:lblOffset val="100"/>
        <c:noMultiLvlLbl val="0"/>
      </c:catAx>
      <c:valAx>
        <c:axId val="82116699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6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2</xdr:row>
      <xdr:rowOff>0</xdr:rowOff>
    </xdr:from>
    <xdr:to>
      <xdr:col>11</xdr:col>
      <xdr:colOff>251460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B7F8D-3295-1D7B-E241-C7F4FD3FC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2</xdr:row>
      <xdr:rowOff>30480</xdr:rowOff>
    </xdr:from>
    <xdr:to>
      <xdr:col>11</xdr:col>
      <xdr:colOff>167640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88B4B-D34B-F101-CE33-EF2238C45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2</xdr:row>
      <xdr:rowOff>45720</xdr:rowOff>
    </xdr:from>
    <xdr:to>
      <xdr:col>11</xdr:col>
      <xdr:colOff>495300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0745C-4797-3923-DB09-8F78330EF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167640</xdr:rowOff>
    </xdr:from>
    <xdr:to>
      <xdr:col>11</xdr:col>
      <xdr:colOff>45720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03CBD-00AD-2AFF-BA79-A3EB658FC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ranjani S" refreshedDate="46090.866968171293" createdVersion="8" refreshedVersion="8" minRefreshableVersion="3" recordCount="200" xr:uid="{B18A8579-1EC1-49A3-90AF-04B1BE7B8BB3}">
  <cacheSource type="worksheet">
    <worksheetSource ref="A1:K201" sheet="Data"/>
  </cacheSource>
  <cacheFields count="11">
    <cacheField name="Expert_ID" numFmtId="0">
      <sharedItems/>
    </cacheField>
    <cacheField name="Domain" numFmtId="0">
      <sharedItems count="5">
        <s v="Coding"/>
        <s v="Healthcare"/>
        <s v="Legal"/>
        <s v="Finance"/>
        <s v="Education"/>
      </sharedItems>
    </cacheField>
    <cacheField name="Onboarding_Days" numFmtId="0">
      <sharedItems containsSemiMixedTypes="0" containsString="0" containsNumber="1" containsInteger="1" minValue="2" maxValue="6"/>
    </cacheField>
    <cacheField name="Tasks_Assigned" numFmtId="0">
      <sharedItems containsSemiMixedTypes="0" containsString="0" containsNumber="1" containsInteger="1" minValue="30" maxValue="54"/>
    </cacheField>
    <cacheField name="Tasks_Completed" numFmtId="0">
      <sharedItems containsSemiMixedTypes="0" containsString="0" containsNumber="1" containsInteger="1" minValue="20" maxValue="50"/>
    </cacheField>
    <cacheField name="Quality_Score" numFmtId="0">
      <sharedItems containsSemiMixedTypes="0" containsString="0" containsNumber="1" minValue="3.52" maxValue="4.99"/>
    </cacheField>
    <cacheField name="Hourly_Cost" numFmtId="0">
      <sharedItems containsSemiMixedTypes="0" containsString="0" containsNumber="1" containsInteger="1" minValue="35" maxValue="59"/>
    </cacheField>
    <cacheField name="Completion Rate % (Tasks_Completed/Tasks_Assigned)" numFmtId="0">
      <sharedItems containsSemiMixedTypes="0" containsString="0" containsNumber="1" minValue="63.41" maxValue="94.34" count="127">
        <n v="86.36"/>
        <n v="65.38"/>
        <n v="94"/>
        <n v="82"/>
        <n v="64.099999999999994"/>
        <n v="81.63"/>
        <n v="63.89"/>
        <n v="70"/>
        <n v="64.86"/>
        <n v="72.73"/>
        <n v="87.23"/>
        <n v="89.19"/>
        <n v="69.05"/>
        <n v="86.84"/>
        <n v="84.78"/>
        <n v="92.11"/>
        <n v="73.08"/>
        <n v="90.2"/>
        <n v="79.41"/>
        <n v="77.27"/>
        <n v="90.91"/>
        <n v="72.22"/>
        <n v="66.67"/>
        <n v="90.38"/>
        <n v="88.89"/>
        <n v="85.29"/>
        <n v="84.91"/>
        <n v="70.73"/>
        <n v="66.040000000000006"/>
        <n v="78.05"/>
        <n v="75"/>
        <n v="83.87"/>
        <n v="85.71"/>
        <n v="87.5"/>
        <n v="76.67"/>
        <n v="93.33"/>
        <n v="84.38"/>
        <n v="67.349999999999994"/>
        <n v="81.400000000000006"/>
        <n v="69.7"/>
        <n v="80"/>
        <n v="92.16"/>
        <n v="79.55"/>
        <n v="65.22"/>
        <n v="91.18"/>
        <n v="73.47"/>
        <n v="68.75"/>
        <n v="89.74"/>
        <n v="74.510000000000005"/>
        <n v="89.36"/>
        <n v="77.42"/>
        <n v="82.35"/>
        <n v="92.68"/>
        <n v="75.510000000000005"/>
        <n v="92.86"/>
        <n v="77.08"/>
        <n v="76.92"/>
        <n v="71.430000000000007"/>
        <n v="74.069999999999993"/>
        <n v="63.41"/>
        <n v="76.47"/>
        <n v="89.58"/>
        <n v="69.23"/>
        <n v="85.11"/>
        <n v="74"/>
        <n v="93.75"/>
        <n v="90.57"/>
        <n v="70.37"/>
        <n v="89.47"/>
        <n v="65.91"/>
        <n v="86"/>
        <n v="92.31"/>
        <n v="80.77"/>
        <n v="90.24"/>
        <n v="91.49"/>
        <n v="90"/>
        <n v="84.31"/>
        <n v="76.19"/>
        <n v="90.74"/>
        <n v="70.59"/>
        <n v="71.05"/>
        <n v="72"/>
        <n v="72.34"/>
        <n v="71.739999999999995"/>
        <n v="76.599999999999994"/>
        <n v="92.59"/>
        <n v="94.12"/>
        <n v="74.19"/>
        <n v="86.27"/>
        <n v="81.48"/>
        <n v="86.05"/>
        <n v="82.86"/>
        <n v="79.63"/>
        <n v="93.48"/>
        <n v="82.98"/>
        <n v="65.790000000000006"/>
        <n v="69.39"/>
        <n v="83.33"/>
        <n v="79.489999999999995"/>
        <n v="81.08"/>
        <n v="91.43"/>
        <n v="78.13"/>
        <n v="85.19"/>
        <n v="92.5"/>
        <n v="81.58"/>
        <n v="89.13"/>
        <n v="64.709999999999994"/>
        <n v="80.95"/>
        <n v="87.76"/>
        <n v="81.819999999999993"/>
        <n v="88.64"/>
        <n v="64.52"/>
        <n v="82.5"/>
        <n v="67.5"/>
        <n v="64.150000000000006"/>
        <n v="76.319999999999993"/>
        <n v="77.5"/>
        <n v="76"/>
        <n v="65"/>
        <n v="77.55"/>
        <n v="78.38"/>
        <n v="67.569999999999993"/>
        <n v="93.88"/>
        <n v="94.34"/>
        <n v="88.24"/>
        <n v="70.97"/>
        <n v="78.790000000000006"/>
      </sharedItems>
    </cacheField>
    <cacheField name="Cost per Task (Hourly_Cost / Tasks_Completed)" numFmtId="0">
      <sharedItems containsSemiMixedTypes="0" containsString="0" containsNumber="1" minValue="0.83" maxValue="2.4300000000000002" count="99">
        <n v="1.26"/>
        <n v="1.41"/>
        <n v="1.17"/>
        <n v="1.29"/>
        <n v="1.68"/>
        <n v="1.1000000000000001"/>
        <n v="1.57"/>
        <n v="1.46"/>
        <n v="1.88"/>
        <n v="2.25"/>
        <n v="1.39"/>
        <n v="1.55"/>
        <n v="1.42"/>
        <n v="1.38"/>
        <n v="1.31"/>
        <n v="1.1100000000000001"/>
        <n v="1"/>
        <n v="2.0699999999999998"/>
        <n v="1.53"/>
        <n v="1.43"/>
        <n v="1.33"/>
        <n v="1.06"/>
        <n v="0.96"/>
        <n v="1.97"/>
        <n v="1.03"/>
        <n v="1.1599999999999999"/>
        <n v="1.59"/>
        <n v="1.35"/>
        <n v="2"/>
        <n v="2.13"/>
        <n v="1.36"/>
        <n v="1.25"/>
        <n v="1.21"/>
        <n v="2.08"/>
        <n v="1.23"/>
        <n v="1.96"/>
        <n v="2.29"/>
        <n v="0.83"/>
        <n v="1.2"/>
        <n v="1.74"/>
        <n v="1.56"/>
        <n v="2.0499999999999998"/>
        <n v="1.45"/>
        <n v="1.83"/>
        <n v="1.02"/>
        <n v="1.05"/>
        <n v="1.1399999999999999"/>
        <n v="1.1299999999999999"/>
        <n v="1.19"/>
        <n v="2.17"/>
        <n v="1.0900000000000001"/>
        <n v="0.88"/>
        <n v="1.77"/>
        <n v="0.93"/>
        <n v="1.52"/>
        <n v="1.72"/>
        <n v="1.32"/>
        <n v="0.98"/>
        <n v="1.37"/>
        <n v="0.92"/>
        <n v="1.22"/>
        <n v="1.75"/>
        <n v="0.86"/>
        <n v="1.66"/>
        <n v="1.79"/>
        <n v="1.67"/>
        <n v="1.58"/>
        <n v="1.91"/>
        <n v="0.9"/>
        <n v="2.3199999999999998"/>
        <n v="1.44"/>
        <n v="1.34"/>
        <n v="1.08"/>
        <n v="1.24"/>
        <n v="1.28"/>
        <n v="1.1200000000000001"/>
        <n v="1.3"/>
        <n v="1.6"/>
        <n v="1.7"/>
        <n v="1.8"/>
        <n v="1.47"/>
        <n v="1.9"/>
        <n v="1.69"/>
        <n v="1.48"/>
        <n v="1.87"/>
        <n v="1.81"/>
        <n v="1.1499999999999999"/>
        <n v="2.27"/>
        <n v="2.12"/>
        <n v="1.18"/>
        <n v="1.04"/>
        <n v="2.4300000000000002"/>
        <n v="1.5"/>
        <n v="2.2400000000000002"/>
        <n v="2.2999999999999998"/>
        <n v="0.91"/>
        <n v="1.61"/>
        <n v="1.64"/>
        <n v="1.93"/>
      </sharedItems>
    </cacheField>
    <cacheField name="Productivity (Tasks_Completed / Onboarding_Days)" numFmtId="0">
      <sharedItems containsSemiMixedTypes="0" containsString="0" containsNumber="1" minValue="3.83" maxValue="25" count="75">
        <n v="19"/>
        <n v="17"/>
        <n v="9.4"/>
        <n v="13.67"/>
        <n v="12.5"/>
        <n v="20"/>
        <n v="7.67"/>
        <n v="17.5"/>
        <n v="12"/>
        <n v="8"/>
        <n v="16.5"/>
        <n v="14.5"/>
        <n v="6.5"/>
        <n v="12.67"/>
        <n v="15.33"/>
        <n v="6.75"/>
        <n v="8.5"/>
        <n v="10"/>
        <n v="18"/>
        <n v="24"/>
        <n v="7.25"/>
        <n v="9"/>
        <n v="9.67"/>
        <n v="11.67"/>
        <n v="16"/>
        <n v="15"/>
        <n v="5.6"/>
        <n v="11.5"/>
        <n v="6.67"/>
        <n v="21"/>
        <n v="13.5"/>
        <n v="11"/>
        <n v="8.75"/>
        <n v="6"/>
        <n v="15.67"/>
        <n v="7.75"/>
        <n v="7.33"/>
        <n v="14"/>
        <n v="9.5"/>
        <n v="9.25"/>
        <n v="13"/>
        <n v="12.33"/>
        <n v="21.5"/>
        <n v="13.33"/>
        <n v="6.25"/>
        <n v="23.5"/>
        <n v="11.33"/>
        <n v="5.8"/>
        <n v="10.75"/>
        <n v="24.5"/>
        <n v="9.75"/>
        <n v="6.6"/>
        <n v="25"/>
        <n v="9.33"/>
        <n v="14.67"/>
        <n v="22"/>
        <n v="14.33"/>
        <n v="8.33"/>
        <n v="5"/>
        <n v="9.1999999999999993"/>
        <n v="15.5"/>
        <n v="8.1999999999999993"/>
        <n v="5.5"/>
        <n v="7"/>
        <n v="6.17"/>
        <n v="7.5"/>
        <n v="10.33"/>
        <n v="6.33"/>
        <n v="20.5"/>
        <n v="3.83"/>
        <n v="4.17"/>
        <n v="10.5"/>
        <n v="4.5999999999999996"/>
        <n v="23"/>
        <n v="16.670000000000002"/>
      </sharedItems>
    </cacheField>
    <cacheField name="Quality Index = Completion Rate × Quality_Score" numFmtId="0">
      <sharedItems containsSemiMixedTypes="0" containsString="0" containsNumber="1" minValue="2.4" maxValue="4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E001"/>
    <x v="0"/>
    <n v="2"/>
    <n v="44"/>
    <n v="38"/>
    <n v="4.4000000000000004"/>
    <n v="48"/>
    <x v="0"/>
    <x v="0"/>
    <x v="0"/>
    <n v="3.8"/>
  </r>
  <r>
    <s v="E002"/>
    <x v="1"/>
    <n v="2"/>
    <n v="52"/>
    <n v="34"/>
    <n v="4.8"/>
    <n v="48"/>
    <x v="1"/>
    <x v="1"/>
    <x v="1"/>
    <n v="3.14"/>
  </r>
  <r>
    <s v="E003"/>
    <x v="2"/>
    <n v="5"/>
    <n v="50"/>
    <n v="47"/>
    <n v="4.75"/>
    <n v="55"/>
    <x v="2"/>
    <x v="2"/>
    <x v="2"/>
    <n v="4.47"/>
  </r>
  <r>
    <s v="E004"/>
    <x v="1"/>
    <n v="3"/>
    <n v="50"/>
    <n v="41"/>
    <n v="4.42"/>
    <n v="53"/>
    <x v="3"/>
    <x v="3"/>
    <x v="3"/>
    <n v="3.62"/>
  </r>
  <r>
    <s v="E005"/>
    <x v="3"/>
    <n v="2"/>
    <n v="39"/>
    <n v="25"/>
    <n v="4.96"/>
    <n v="42"/>
    <x v="4"/>
    <x v="4"/>
    <x v="4"/>
    <n v="3.18"/>
  </r>
  <r>
    <s v="E006"/>
    <x v="0"/>
    <n v="2"/>
    <n v="49"/>
    <n v="40"/>
    <n v="3.57"/>
    <n v="44"/>
    <x v="5"/>
    <x v="5"/>
    <x v="5"/>
    <n v="2.91"/>
  </r>
  <r>
    <s v="E007"/>
    <x v="4"/>
    <n v="3"/>
    <n v="36"/>
    <n v="23"/>
    <n v="4.91"/>
    <n v="36"/>
    <x v="6"/>
    <x v="6"/>
    <x v="6"/>
    <n v="3.14"/>
  </r>
  <r>
    <s v="E008"/>
    <x v="1"/>
    <n v="2"/>
    <n v="50"/>
    <n v="35"/>
    <n v="3.86"/>
    <n v="51"/>
    <x v="7"/>
    <x v="7"/>
    <x v="7"/>
    <n v="2.7"/>
  </r>
  <r>
    <s v="E009"/>
    <x v="0"/>
    <n v="2"/>
    <n v="37"/>
    <n v="24"/>
    <n v="4.8600000000000003"/>
    <n v="45"/>
    <x v="8"/>
    <x v="8"/>
    <x v="8"/>
    <n v="3.15"/>
  </r>
  <r>
    <s v="E010"/>
    <x v="1"/>
    <n v="3"/>
    <n v="33"/>
    <n v="24"/>
    <n v="4.28"/>
    <n v="54"/>
    <x v="9"/>
    <x v="9"/>
    <x v="9"/>
    <n v="3.11"/>
  </r>
  <r>
    <s v="E011"/>
    <x v="0"/>
    <n v="3"/>
    <n v="47"/>
    <n v="41"/>
    <n v="4.91"/>
    <n v="45"/>
    <x v="10"/>
    <x v="5"/>
    <x v="3"/>
    <n v="4.28"/>
  </r>
  <r>
    <s v="E012"/>
    <x v="0"/>
    <n v="2"/>
    <n v="37"/>
    <n v="33"/>
    <n v="4.62"/>
    <n v="46"/>
    <x v="11"/>
    <x v="10"/>
    <x v="10"/>
    <n v="4.12"/>
  </r>
  <r>
    <s v="E013"/>
    <x v="1"/>
    <n v="2"/>
    <n v="42"/>
    <n v="29"/>
    <n v="4.7"/>
    <n v="45"/>
    <x v="12"/>
    <x v="11"/>
    <x v="11"/>
    <n v="3.25"/>
  </r>
  <r>
    <s v="E014"/>
    <x v="3"/>
    <n v="2"/>
    <n v="38"/>
    <n v="33"/>
    <n v="3.8"/>
    <n v="47"/>
    <x v="13"/>
    <x v="12"/>
    <x v="10"/>
    <n v="3.3"/>
  </r>
  <r>
    <s v="E015"/>
    <x v="2"/>
    <n v="6"/>
    <n v="46"/>
    <n v="39"/>
    <n v="4.6900000000000004"/>
    <n v="54"/>
    <x v="14"/>
    <x v="13"/>
    <x v="12"/>
    <n v="3.98"/>
  </r>
  <r>
    <s v="E016"/>
    <x v="1"/>
    <n v="2"/>
    <n v="38"/>
    <n v="35"/>
    <n v="4.78"/>
    <n v="46"/>
    <x v="15"/>
    <x v="14"/>
    <x v="7"/>
    <n v="4.4000000000000004"/>
  </r>
  <r>
    <s v="E017"/>
    <x v="3"/>
    <n v="3"/>
    <n v="52"/>
    <n v="38"/>
    <n v="3.99"/>
    <n v="42"/>
    <x v="16"/>
    <x v="15"/>
    <x v="13"/>
    <n v="2.92"/>
  </r>
  <r>
    <s v="E018"/>
    <x v="0"/>
    <n v="3"/>
    <n v="51"/>
    <n v="46"/>
    <n v="4.21"/>
    <n v="46"/>
    <x v="17"/>
    <x v="16"/>
    <x v="14"/>
    <n v="3.8"/>
  </r>
  <r>
    <s v="E019"/>
    <x v="2"/>
    <n v="4"/>
    <n v="34"/>
    <n v="27"/>
    <n v="4.66"/>
    <n v="56"/>
    <x v="18"/>
    <x v="17"/>
    <x v="15"/>
    <n v="3.7"/>
  </r>
  <r>
    <s v="E020"/>
    <x v="2"/>
    <n v="4"/>
    <n v="44"/>
    <n v="34"/>
    <n v="3.54"/>
    <n v="52"/>
    <x v="19"/>
    <x v="18"/>
    <x v="16"/>
    <n v="2.74"/>
  </r>
  <r>
    <s v="E021"/>
    <x v="3"/>
    <n v="3"/>
    <n v="33"/>
    <n v="30"/>
    <n v="3.87"/>
    <n v="43"/>
    <x v="20"/>
    <x v="19"/>
    <x v="17"/>
    <n v="3.52"/>
  </r>
  <r>
    <s v="E022"/>
    <x v="4"/>
    <n v="4"/>
    <n v="36"/>
    <n v="26"/>
    <n v="3.74"/>
    <n v="36"/>
    <x v="21"/>
    <x v="13"/>
    <x v="12"/>
    <n v="2.7"/>
  </r>
  <r>
    <s v="E023"/>
    <x v="1"/>
    <n v="2"/>
    <n v="54"/>
    <n v="36"/>
    <n v="4.18"/>
    <n v="48"/>
    <x v="22"/>
    <x v="20"/>
    <x v="18"/>
    <n v="2.79"/>
  </r>
  <r>
    <s v="E024"/>
    <x v="2"/>
    <n v="5"/>
    <n v="52"/>
    <n v="47"/>
    <n v="3.98"/>
    <n v="50"/>
    <x v="23"/>
    <x v="21"/>
    <x v="2"/>
    <n v="3.6"/>
  </r>
  <r>
    <s v="E025"/>
    <x v="3"/>
    <n v="2"/>
    <n v="54"/>
    <n v="48"/>
    <n v="4.79"/>
    <n v="46"/>
    <x v="24"/>
    <x v="22"/>
    <x v="19"/>
    <n v="4.26"/>
  </r>
  <r>
    <s v="E026"/>
    <x v="2"/>
    <n v="4"/>
    <n v="34"/>
    <n v="29"/>
    <n v="3.9"/>
    <n v="57"/>
    <x v="25"/>
    <x v="23"/>
    <x v="20"/>
    <n v="3.33"/>
  </r>
  <r>
    <s v="E027"/>
    <x v="2"/>
    <n v="5"/>
    <n v="53"/>
    <n v="45"/>
    <n v="4.05"/>
    <n v="50"/>
    <x v="26"/>
    <x v="15"/>
    <x v="21"/>
    <n v="3.44"/>
  </r>
  <r>
    <s v="E028"/>
    <x v="1"/>
    <n v="3"/>
    <n v="41"/>
    <n v="29"/>
    <n v="4.25"/>
    <n v="45"/>
    <x v="27"/>
    <x v="11"/>
    <x v="22"/>
    <n v="3.01"/>
  </r>
  <r>
    <s v="E029"/>
    <x v="4"/>
    <n v="3"/>
    <n v="53"/>
    <n v="35"/>
    <n v="4.41"/>
    <n v="36"/>
    <x v="28"/>
    <x v="24"/>
    <x v="23"/>
    <n v="2.91"/>
  </r>
  <r>
    <s v="E030"/>
    <x v="0"/>
    <n v="3"/>
    <n v="52"/>
    <n v="38"/>
    <n v="4.8600000000000003"/>
    <n v="44"/>
    <x v="16"/>
    <x v="25"/>
    <x v="13"/>
    <n v="3.55"/>
  </r>
  <r>
    <s v="E031"/>
    <x v="1"/>
    <n v="2"/>
    <n v="41"/>
    <n v="32"/>
    <n v="4.33"/>
    <n v="51"/>
    <x v="29"/>
    <x v="26"/>
    <x v="24"/>
    <n v="3.38"/>
  </r>
  <r>
    <s v="E032"/>
    <x v="0"/>
    <n v="2"/>
    <n v="40"/>
    <n v="30"/>
    <n v="3.86"/>
    <n v="47"/>
    <x v="30"/>
    <x v="6"/>
    <x v="25"/>
    <n v="2.9"/>
  </r>
  <r>
    <s v="E033"/>
    <x v="4"/>
    <n v="4"/>
    <n v="31"/>
    <n v="26"/>
    <n v="4.3"/>
    <n v="35"/>
    <x v="31"/>
    <x v="27"/>
    <x v="12"/>
    <n v="3.61"/>
  </r>
  <r>
    <s v="E034"/>
    <x v="3"/>
    <n v="3"/>
    <n v="35"/>
    <n v="30"/>
    <n v="4.79"/>
    <n v="43"/>
    <x v="32"/>
    <x v="19"/>
    <x v="17"/>
    <n v="4.1100000000000003"/>
  </r>
  <r>
    <s v="E035"/>
    <x v="2"/>
    <n v="5"/>
    <n v="32"/>
    <n v="28"/>
    <n v="4.0199999999999996"/>
    <n v="56"/>
    <x v="33"/>
    <x v="28"/>
    <x v="26"/>
    <n v="3.52"/>
  </r>
  <r>
    <s v="E036"/>
    <x v="0"/>
    <n v="2"/>
    <n v="30"/>
    <n v="23"/>
    <n v="4.28"/>
    <n v="49"/>
    <x v="34"/>
    <x v="29"/>
    <x v="27"/>
    <n v="3.28"/>
  </r>
  <r>
    <s v="E037"/>
    <x v="3"/>
    <n v="2"/>
    <n v="54"/>
    <n v="36"/>
    <n v="4.8899999999999997"/>
    <n v="49"/>
    <x v="22"/>
    <x v="30"/>
    <x v="18"/>
    <n v="3.26"/>
  </r>
  <r>
    <s v="E038"/>
    <x v="2"/>
    <n v="6"/>
    <n v="45"/>
    <n v="40"/>
    <n v="4.33"/>
    <n v="50"/>
    <x v="24"/>
    <x v="31"/>
    <x v="28"/>
    <n v="3.85"/>
  </r>
  <r>
    <s v="E039"/>
    <x v="1"/>
    <n v="2"/>
    <n v="45"/>
    <n v="42"/>
    <n v="4.34"/>
    <n v="51"/>
    <x v="35"/>
    <x v="32"/>
    <x v="29"/>
    <n v="4.05"/>
  </r>
  <r>
    <s v="E040"/>
    <x v="3"/>
    <n v="2"/>
    <n v="32"/>
    <n v="27"/>
    <n v="4.7699999999999996"/>
    <n v="43"/>
    <x v="36"/>
    <x v="26"/>
    <x v="30"/>
    <n v="4.0199999999999996"/>
  </r>
  <r>
    <s v="E041"/>
    <x v="3"/>
    <n v="3"/>
    <n v="49"/>
    <n v="33"/>
    <n v="3.74"/>
    <n v="45"/>
    <x v="37"/>
    <x v="30"/>
    <x v="31"/>
    <n v="2.52"/>
  </r>
  <r>
    <s v="E042"/>
    <x v="0"/>
    <n v="3"/>
    <n v="32"/>
    <n v="24"/>
    <n v="4.91"/>
    <n v="50"/>
    <x v="30"/>
    <x v="33"/>
    <x v="9"/>
    <n v="3.68"/>
  </r>
  <r>
    <s v="E043"/>
    <x v="4"/>
    <n v="4"/>
    <n v="43"/>
    <n v="35"/>
    <n v="4.54"/>
    <n v="43"/>
    <x v="38"/>
    <x v="34"/>
    <x v="32"/>
    <n v="3.7"/>
  </r>
  <r>
    <s v="E044"/>
    <x v="0"/>
    <n v="2"/>
    <n v="33"/>
    <n v="23"/>
    <n v="3.99"/>
    <n v="45"/>
    <x v="39"/>
    <x v="35"/>
    <x v="27"/>
    <n v="2.78"/>
  </r>
  <r>
    <s v="E045"/>
    <x v="2"/>
    <n v="4"/>
    <n v="30"/>
    <n v="24"/>
    <n v="4.26"/>
    <n v="55"/>
    <x v="40"/>
    <x v="36"/>
    <x v="33"/>
    <n v="3.41"/>
  </r>
  <r>
    <s v="E046"/>
    <x v="4"/>
    <n v="3"/>
    <n v="51"/>
    <n v="47"/>
    <n v="4.1500000000000004"/>
    <n v="39"/>
    <x v="41"/>
    <x v="37"/>
    <x v="34"/>
    <n v="3.82"/>
  </r>
  <r>
    <s v="E047"/>
    <x v="3"/>
    <n v="3"/>
    <n v="44"/>
    <n v="35"/>
    <n v="3.79"/>
    <n v="42"/>
    <x v="42"/>
    <x v="38"/>
    <x v="23"/>
    <n v="3.01"/>
  </r>
  <r>
    <s v="E048"/>
    <x v="0"/>
    <n v="2"/>
    <n v="46"/>
    <n v="30"/>
    <n v="4.99"/>
    <n v="46"/>
    <x v="43"/>
    <x v="18"/>
    <x v="25"/>
    <n v="3.25"/>
  </r>
  <r>
    <s v="E049"/>
    <x v="2"/>
    <n v="4"/>
    <n v="34"/>
    <n v="31"/>
    <n v="4.1399999999999997"/>
    <n v="54"/>
    <x v="44"/>
    <x v="39"/>
    <x v="35"/>
    <n v="3.77"/>
  </r>
  <r>
    <s v="E050"/>
    <x v="2"/>
    <n v="4"/>
    <n v="49"/>
    <n v="36"/>
    <n v="4.08"/>
    <n v="56"/>
    <x v="45"/>
    <x v="40"/>
    <x v="21"/>
    <n v="3"/>
  </r>
  <r>
    <s v="E051"/>
    <x v="3"/>
    <n v="3"/>
    <n v="32"/>
    <n v="22"/>
    <n v="4.34"/>
    <n v="45"/>
    <x v="46"/>
    <x v="41"/>
    <x v="36"/>
    <n v="2.98"/>
  </r>
  <r>
    <s v="E052"/>
    <x v="1"/>
    <n v="2"/>
    <n v="37"/>
    <n v="24"/>
    <n v="3.81"/>
    <n v="50"/>
    <x v="8"/>
    <x v="33"/>
    <x v="8"/>
    <n v="2.4700000000000002"/>
  </r>
  <r>
    <s v="E053"/>
    <x v="1"/>
    <n v="2"/>
    <n v="39"/>
    <n v="35"/>
    <n v="4.6100000000000003"/>
    <n v="45"/>
    <x v="47"/>
    <x v="3"/>
    <x v="7"/>
    <n v="4.1399999999999997"/>
  </r>
  <r>
    <s v="E054"/>
    <x v="3"/>
    <n v="2"/>
    <n v="51"/>
    <n v="38"/>
    <n v="3.94"/>
    <n v="46"/>
    <x v="48"/>
    <x v="32"/>
    <x v="0"/>
    <n v="2.94"/>
  </r>
  <r>
    <s v="E055"/>
    <x v="1"/>
    <n v="2"/>
    <n v="47"/>
    <n v="42"/>
    <n v="4.87"/>
    <n v="54"/>
    <x v="49"/>
    <x v="3"/>
    <x v="29"/>
    <n v="4.3499999999999996"/>
  </r>
  <r>
    <s v="E056"/>
    <x v="3"/>
    <n v="3"/>
    <n v="42"/>
    <n v="29"/>
    <n v="3.61"/>
    <n v="42"/>
    <x v="12"/>
    <x v="42"/>
    <x v="22"/>
    <n v="2.4900000000000002"/>
  </r>
  <r>
    <s v="E057"/>
    <x v="0"/>
    <n v="3"/>
    <n v="31"/>
    <n v="24"/>
    <n v="4.51"/>
    <n v="44"/>
    <x v="50"/>
    <x v="43"/>
    <x v="9"/>
    <n v="3.49"/>
  </r>
  <r>
    <s v="E058"/>
    <x v="3"/>
    <n v="3"/>
    <n v="51"/>
    <n v="42"/>
    <n v="3.55"/>
    <n v="43"/>
    <x v="51"/>
    <x v="44"/>
    <x v="37"/>
    <n v="2.92"/>
  </r>
  <r>
    <s v="E059"/>
    <x v="1"/>
    <n v="3"/>
    <n v="44"/>
    <n v="33"/>
    <n v="3.69"/>
    <n v="45"/>
    <x v="30"/>
    <x v="30"/>
    <x v="31"/>
    <n v="2.77"/>
  </r>
  <r>
    <s v="E060"/>
    <x v="4"/>
    <n v="4"/>
    <n v="41"/>
    <n v="38"/>
    <n v="4.1900000000000004"/>
    <n v="40"/>
    <x v="52"/>
    <x v="45"/>
    <x v="38"/>
    <n v="3.88"/>
  </r>
  <r>
    <s v="E061"/>
    <x v="4"/>
    <n v="4"/>
    <n v="49"/>
    <n v="37"/>
    <n v="4.55"/>
    <n v="42"/>
    <x v="53"/>
    <x v="46"/>
    <x v="39"/>
    <n v="3.44"/>
  </r>
  <r>
    <s v="E062"/>
    <x v="0"/>
    <n v="3"/>
    <n v="42"/>
    <n v="39"/>
    <n v="4.57"/>
    <n v="44"/>
    <x v="54"/>
    <x v="47"/>
    <x v="40"/>
    <n v="4.24"/>
  </r>
  <r>
    <s v="E063"/>
    <x v="3"/>
    <n v="3"/>
    <n v="48"/>
    <n v="37"/>
    <n v="3.62"/>
    <n v="44"/>
    <x v="55"/>
    <x v="48"/>
    <x v="41"/>
    <n v="2.79"/>
  </r>
  <r>
    <s v="E064"/>
    <x v="1"/>
    <n v="2"/>
    <n v="52"/>
    <n v="40"/>
    <n v="4.53"/>
    <n v="45"/>
    <x v="56"/>
    <x v="47"/>
    <x v="5"/>
    <n v="3.48"/>
  </r>
  <r>
    <s v="E065"/>
    <x v="1"/>
    <n v="3"/>
    <n v="30"/>
    <n v="23"/>
    <n v="3.86"/>
    <n v="50"/>
    <x v="34"/>
    <x v="49"/>
    <x v="6"/>
    <n v="2.96"/>
  </r>
  <r>
    <s v="E066"/>
    <x v="3"/>
    <n v="3"/>
    <n v="42"/>
    <n v="30"/>
    <n v="4.93"/>
    <n v="46"/>
    <x v="57"/>
    <x v="18"/>
    <x v="17"/>
    <n v="3.52"/>
  </r>
  <r>
    <s v="E067"/>
    <x v="4"/>
    <n v="4"/>
    <n v="52"/>
    <n v="34"/>
    <n v="4.3499999999999996"/>
    <n v="37"/>
    <x v="1"/>
    <x v="50"/>
    <x v="16"/>
    <n v="2.84"/>
  </r>
  <r>
    <s v="E068"/>
    <x v="4"/>
    <n v="4"/>
    <n v="54"/>
    <n v="40"/>
    <n v="3.64"/>
    <n v="35"/>
    <x v="58"/>
    <x v="51"/>
    <x v="17"/>
    <n v="2.7"/>
  </r>
  <r>
    <s v="E069"/>
    <x v="0"/>
    <n v="2"/>
    <n v="41"/>
    <n v="26"/>
    <n v="4.6500000000000004"/>
    <n v="46"/>
    <x v="59"/>
    <x v="52"/>
    <x v="40"/>
    <n v="2.95"/>
  </r>
  <r>
    <s v="E070"/>
    <x v="0"/>
    <n v="2"/>
    <n v="34"/>
    <n v="26"/>
    <n v="4.42"/>
    <n v="46"/>
    <x v="60"/>
    <x v="52"/>
    <x v="40"/>
    <n v="3.38"/>
  </r>
  <r>
    <s v="E071"/>
    <x v="0"/>
    <n v="3"/>
    <n v="49"/>
    <n v="37"/>
    <n v="4.4400000000000004"/>
    <n v="51"/>
    <x v="53"/>
    <x v="13"/>
    <x v="41"/>
    <n v="3.35"/>
  </r>
  <r>
    <s v="E072"/>
    <x v="3"/>
    <n v="3"/>
    <n v="34"/>
    <n v="29"/>
    <n v="4.42"/>
    <n v="46"/>
    <x v="25"/>
    <x v="26"/>
    <x v="22"/>
    <n v="3.77"/>
  </r>
  <r>
    <s v="E073"/>
    <x v="1"/>
    <n v="2"/>
    <n v="49"/>
    <n v="40"/>
    <n v="4.08"/>
    <n v="45"/>
    <x v="5"/>
    <x v="47"/>
    <x v="5"/>
    <n v="3.33"/>
  </r>
  <r>
    <s v="E074"/>
    <x v="3"/>
    <n v="2"/>
    <n v="48"/>
    <n v="43"/>
    <n v="4.4400000000000004"/>
    <n v="40"/>
    <x v="61"/>
    <x v="53"/>
    <x v="42"/>
    <n v="3.98"/>
  </r>
  <r>
    <s v="E075"/>
    <x v="3"/>
    <n v="3"/>
    <n v="39"/>
    <n v="27"/>
    <n v="3.91"/>
    <n v="41"/>
    <x v="62"/>
    <x v="54"/>
    <x v="21"/>
    <n v="2.71"/>
  </r>
  <r>
    <s v="E076"/>
    <x v="4"/>
    <n v="3"/>
    <n v="47"/>
    <n v="40"/>
    <n v="3.61"/>
    <n v="42"/>
    <x v="63"/>
    <x v="45"/>
    <x v="43"/>
    <n v="3.07"/>
  </r>
  <r>
    <s v="E077"/>
    <x v="4"/>
    <n v="4"/>
    <n v="39"/>
    <n v="25"/>
    <n v="4.72"/>
    <n v="43"/>
    <x v="4"/>
    <x v="55"/>
    <x v="44"/>
    <n v="3.03"/>
  </r>
  <r>
    <s v="E078"/>
    <x v="0"/>
    <n v="3"/>
    <n v="50"/>
    <n v="37"/>
    <n v="4.9000000000000004"/>
    <n v="49"/>
    <x v="64"/>
    <x v="56"/>
    <x v="41"/>
    <n v="3.63"/>
  </r>
  <r>
    <s v="E079"/>
    <x v="0"/>
    <n v="2"/>
    <n v="50"/>
    <n v="47"/>
    <n v="4.32"/>
    <n v="46"/>
    <x v="2"/>
    <x v="57"/>
    <x v="45"/>
    <n v="4.0599999999999996"/>
  </r>
  <r>
    <s v="E080"/>
    <x v="3"/>
    <n v="3"/>
    <n v="32"/>
    <n v="30"/>
    <n v="4.12"/>
    <n v="41"/>
    <x v="65"/>
    <x v="58"/>
    <x v="17"/>
    <n v="3.86"/>
  </r>
  <r>
    <s v="E081"/>
    <x v="3"/>
    <n v="2"/>
    <n v="53"/>
    <n v="48"/>
    <n v="4.34"/>
    <n v="40"/>
    <x v="66"/>
    <x v="37"/>
    <x v="19"/>
    <n v="3.93"/>
  </r>
  <r>
    <s v="E082"/>
    <x v="4"/>
    <n v="3"/>
    <n v="54"/>
    <n v="38"/>
    <n v="4.07"/>
    <n v="35"/>
    <x v="67"/>
    <x v="59"/>
    <x v="13"/>
    <n v="2.86"/>
  </r>
  <r>
    <s v="E083"/>
    <x v="0"/>
    <n v="3"/>
    <n v="54"/>
    <n v="40"/>
    <n v="4.84"/>
    <n v="42"/>
    <x v="58"/>
    <x v="45"/>
    <x v="43"/>
    <n v="3.58"/>
  </r>
  <r>
    <s v="E084"/>
    <x v="0"/>
    <n v="3"/>
    <n v="38"/>
    <n v="34"/>
    <n v="4.03"/>
    <n v="45"/>
    <x v="68"/>
    <x v="56"/>
    <x v="46"/>
    <n v="3.61"/>
  </r>
  <r>
    <s v="E085"/>
    <x v="2"/>
    <n v="5"/>
    <n v="44"/>
    <n v="29"/>
    <n v="3.64"/>
    <n v="58"/>
    <x v="69"/>
    <x v="28"/>
    <x v="47"/>
    <n v="2.4"/>
  </r>
  <r>
    <s v="E086"/>
    <x v="0"/>
    <n v="2"/>
    <n v="50"/>
    <n v="43"/>
    <n v="4.6900000000000004"/>
    <n v="50"/>
    <x v="70"/>
    <x v="25"/>
    <x v="42"/>
    <n v="4.03"/>
  </r>
  <r>
    <s v="E087"/>
    <x v="4"/>
    <n v="3"/>
    <n v="39"/>
    <n v="36"/>
    <n v="4.99"/>
    <n v="44"/>
    <x v="71"/>
    <x v="60"/>
    <x v="8"/>
    <n v="4.6100000000000003"/>
  </r>
  <r>
    <s v="E088"/>
    <x v="4"/>
    <n v="3"/>
    <n v="52"/>
    <n v="42"/>
    <n v="4.5599999999999996"/>
    <n v="43"/>
    <x v="72"/>
    <x v="44"/>
    <x v="37"/>
    <n v="3.68"/>
  </r>
  <r>
    <s v="E089"/>
    <x v="1"/>
    <n v="3"/>
    <n v="41"/>
    <n v="37"/>
    <n v="4.76"/>
    <n v="52"/>
    <x v="73"/>
    <x v="1"/>
    <x v="41"/>
    <n v="4.3"/>
  </r>
  <r>
    <s v="E090"/>
    <x v="1"/>
    <n v="2"/>
    <n v="47"/>
    <n v="43"/>
    <n v="3.72"/>
    <n v="49"/>
    <x v="74"/>
    <x v="46"/>
    <x v="42"/>
    <n v="3.4"/>
  </r>
  <r>
    <s v="E091"/>
    <x v="2"/>
    <n v="4"/>
    <n v="30"/>
    <n v="27"/>
    <n v="3.86"/>
    <n v="56"/>
    <x v="75"/>
    <x v="17"/>
    <x v="15"/>
    <n v="3.47"/>
  </r>
  <r>
    <s v="E092"/>
    <x v="3"/>
    <n v="2"/>
    <n v="33"/>
    <n v="24"/>
    <n v="4.5599999999999996"/>
    <n v="42"/>
    <x v="9"/>
    <x v="61"/>
    <x v="8"/>
    <n v="3.32"/>
  </r>
  <r>
    <s v="E093"/>
    <x v="4"/>
    <n v="4"/>
    <n v="51"/>
    <n v="43"/>
    <n v="3.87"/>
    <n v="37"/>
    <x v="76"/>
    <x v="62"/>
    <x v="48"/>
    <n v="3.26"/>
  </r>
  <r>
    <s v="E094"/>
    <x v="2"/>
    <n v="4"/>
    <n v="42"/>
    <n v="32"/>
    <n v="4.3600000000000003"/>
    <n v="53"/>
    <x v="77"/>
    <x v="63"/>
    <x v="9"/>
    <n v="3.32"/>
  </r>
  <r>
    <s v="E095"/>
    <x v="0"/>
    <n v="3"/>
    <n v="38"/>
    <n v="33"/>
    <n v="4.5199999999999996"/>
    <n v="50"/>
    <x v="13"/>
    <x v="54"/>
    <x v="31"/>
    <n v="3.93"/>
  </r>
  <r>
    <s v="E096"/>
    <x v="0"/>
    <n v="2"/>
    <n v="54"/>
    <n v="49"/>
    <n v="3.84"/>
    <n v="47"/>
    <x v="78"/>
    <x v="22"/>
    <x v="49"/>
    <n v="3.48"/>
  </r>
  <r>
    <s v="E097"/>
    <x v="1"/>
    <n v="3"/>
    <n v="42"/>
    <n v="39"/>
    <n v="3.56"/>
    <n v="49"/>
    <x v="54"/>
    <x v="0"/>
    <x v="40"/>
    <n v="3.31"/>
  </r>
  <r>
    <s v="E098"/>
    <x v="4"/>
    <n v="3"/>
    <n v="34"/>
    <n v="24"/>
    <n v="4.54"/>
    <n v="43"/>
    <x v="79"/>
    <x v="64"/>
    <x v="9"/>
    <n v="3.2"/>
  </r>
  <r>
    <s v="E099"/>
    <x v="1"/>
    <n v="2"/>
    <n v="38"/>
    <n v="27"/>
    <n v="3.94"/>
    <n v="45"/>
    <x v="80"/>
    <x v="65"/>
    <x v="30"/>
    <n v="2.8"/>
  </r>
  <r>
    <s v="E100"/>
    <x v="4"/>
    <n v="4"/>
    <n v="51"/>
    <n v="39"/>
    <n v="4.6100000000000003"/>
    <n v="44"/>
    <x v="60"/>
    <x v="47"/>
    <x v="50"/>
    <n v="3.53"/>
  </r>
  <r>
    <s v="E101"/>
    <x v="0"/>
    <n v="3"/>
    <n v="50"/>
    <n v="36"/>
    <n v="3.78"/>
    <n v="51"/>
    <x v="81"/>
    <x v="12"/>
    <x v="8"/>
    <n v="2.72"/>
  </r>
  <r>
    <s v="E102"/>
    <x v="1"/>
    <n v="3"/>
    <n v="47"/>
    <n v="34"/>
    <n v="4.04"/>
    <n v="48"/>
    <x v="82"/>
    <x v="1"/>
    <x v="46"/>
    <n v="2.92"/>
  </r>
  <r>
    <s v="E103"/>
    <x v="2"/>
    <n v="5"/>
    <n v="46"/>
    <n v="33"/>
    <n v="4.12"/>
    <n v="52"/>
    <x v="83"/>
    <x v="66"/>
    <x v="51"/>
    <n v="2.96"/>
  </r>
  <r>
    <s v="E104"/>
    <x v="4"/>
    <n v="4"/>
    <n v="47"/>
    <n v="36"/>
    <n v="4.37"/>
    <n v="43"/>
    <x v="84"/>
    <x v="48"/>
    <x v="21"/>
    <n v="3.35"/>
  </r>
  <r>
    <s v="E105"/>
    <x v="1"/>
    <n v="3"/>
    <n v="53"/>
    <n v="48"/>
    <n v="4.33"/>
    <n v="49"/>
    <x v="66"/>
    <x v="44"/>
    <x v="24"/>
    <n v="3.92"/>
  </r>
  <r>
    <s v="E106"/>
    <x v="3"/>
    <n v="3"/>
    <n v="30"/>
    <n v="23"/>
    <n v="4.9800000000000004"/>
    <n v="44"/>
    <x v="34"/>
    <x v="67"/>
    <x v="6"/>
    <n v="3.82"/>
  </r>
  <r>
    <s v="E107"/>
    <x v="1"/>
    <n v="2"/>
    <n v="54"/>
    <n v="50"/>
    <n v="4.76"/>
    <n v="45"/>
    <x v="85"/>
    <x v="68"/>
    <x v="52"/>
    <n v="4.41"/>
  </r>
  <r>
    <s v="E108"/>
    <x v="1"/>
    <n v="2"/>
    <n v="32"/>
    <n v="22"/>
    <n v="3.52"/>
    <n v="51"/>
    <x v="46"/>
    <x v="69"/>
    <x v="31"/>
    <n v="2.42"/>
  </r>
  <r>
    <s v="E109"/>
    <x v="0"/>
    <n v="2"/>
    <n v="34"/>
    <n v="32"/>
    <n v="4.99"/>
    <n v="46"/>
    <x v="86"/>
    <x v="70"/>
    <x v="24"/>
    <n v="4.7"/>
  </r>
  <r>
    <s v="E110"/>
    <x v="4"/>
    <n v="3"/>
    <n v="34"/>
    <n v="29"/>
    <n v="4.07"/>
    <n v="39"/>
    <x v="25"/>
    <x v="71"/>
    <x v="22"/>
    <n v="3.47"/>
  </r>
  <r>
    <s v="E111"/>
    <x v="3"/>
    <n v="3"/>
    <n v="30"/>
    <n v="28"/>
    <n v="4.41"/>
    <n v="40"/>
    <x v="35"/>
    <x v="19"/>
    <x v="53"/>
    <n v="4.12"/>
  </r>
  <r>
    <s v="E112"/>
    <x v="3"/>
    <n v="3"/>
    <n v="31"/>
    <n v="23"/>
    <n v="3.67"/>
    <n v="49"/>
    <x v="87"/>
    <x v="29"/>
    <x v="6"/>
    <n v="2.72"/>
  </r>
  <r>
    <s v="E113"/>
    <x v="1"/>
    <n v="3"/>
    <n v="51"/>
    <n v="44"/>
    <n v="4.28"/>
    <n v="45"/>
    <x v="88"/>
    <x v="44"/>
    <x v="54"/>
    <n v="3.69"/>
  </r>
  <r>
    <s v="E114"/>
    <x v="0"/>
    <n v="2"/>
    <n v="54"/>
    <n v="44"/>
    <n v="4.22"/>
    <n v="48"/>
    <x v="89"/>
    <x v="50"/>
    <x v="55"/>
    <n v="3.44"/>
  </r>
  <r>
    <s v="E115"/>
    <x v="4"/>
    <n v="3"/>
    <n v="43"/>
    <n v="37"/>
    <n v="3.82"/>
    <n v="40"/>
    <x v="90"/>
    <x v="72"/>
    <x v="41"/>
    <n v="3.29"/>
  </r>
  <r>
    <s v="E116"/>
    <x v="0"/>
    <n v="3"/>
    <n v="35"/>
    <n v="29"/>
    <n v="4.45"/>
    <n v="44"/>
    <x v="91"/>
    <x v="54"/>
    <x v="22"/>
    <n v="3.69"/>
  </r>
  <r>
    <s v="E117"/>
    <x v="1"/>
    <n v="3"/>
    <n v="54"/>
    <n v="43"/>
    <n v="4.68"/>
    <n v="51"/>
    <x v="92"/>
    <x v="48"/>
    <x v="56"/>
    <n v="3.73"/>
  </r>
  <r>
    <s v="E118"/>
    <x v="1"/>
    <n v="2"/>
    <n v="46"/>
    <n v="43"/>
    <n v="3.72"/>
    <n v="52"/>
    <x v="93"/>
    <x v="32"/>
    <x v="42"/>
    <n v="3.48"/>
  </r>
  <r>
    <s v="E119"/>
    <x v="3"/>
    <n v="3"/>
    <n v="46"/>
    <n v="33"/>
    <n v="4.1900000000000004"/>
    <n v="41"/>
    <x v="83"/>
    <x v="73"/>
    <x v="31"/>
    <n v="3.01"/>
  </r>
  <r>
    <s v="E120"/>
    <x v="4"/>
    <n v="4"/>
    <n v="42"/>
    <n v="29"/>
    <n v="4.37"/>
    <n v="37"/>
    <x v="12"/>
    <x v="74"/>
    <x v="20"/>
    <n v="3.02"/>
  </r>
  <r>
    <s v="E121"/>
    <x v="3"/>
    <n v="2"/>
    <n v="52"/>
    <n v="42"/>
    <n v="4.0999999999999996"/>
    <n v="47"/>
    <x v="72"/>
    <x v="75"/>
    <x v="29"/>
    <n v="3.31"/>
  </r>
  <r>
    <s v="E122"/>
    <x v="0"/>
    <n v="3"/>
    <n v="33"/>
    <n v="24"/>
    <n v="4.8499999999999996"/>
    <n v="44"/>
    <x v="9"/>
    <x v="43"/>
    <x v="9"/>
    <n v="3.53"/>
  </r>
  <r>
    <s v="E123"/>
    <x v="2"/>
    <n v="4"/>
    <n v="47"/>
    <n v="39"/>
    <n v="3.84"/>
    <n v="54"/>
    <x v="94"/>
    <x v="13"/>
    <x v="50"/>
    <n v="3.19"/>
  </r>
  <r>
    <s v="E124"/>
    <x v="4"/>
    <n v="4"/>
    <n v="39"/>
    <n v="27"/>
    <n v="3.63"/>
    <n v="35"/>
    <x v="62"/>
    <x v="76"/>
    <x v="15"/>
    <n v="2.5099999999999998"/>
  </r>
  <r>
    <s v="E125"/>
    <x v="4"/>
    <n v="3"/>
    <n v="41"/>
    <n v="29"/>
    <n v="4.05"/>
    <n v="44"/>
    <x v="27"/>
    <x v="54"/>
    <x v="22"/>
    <n v="2.86"/>
  </r>
  <r>
    <s v="E126"/>
    <x v="4"/>
    <n v="3"/>
    <n v="38"/>
    <n v="25"/>
    <n v="4.22"/>
    <n v="40"/>
    <x v="95"/>
    <x v="77"/>
    <x v="57"/>
    <n v="2.78"/>
  </r>
  <r>
    <s v="E127"/>
    <x v="2"/>
    <n v="6"/>
    <n v="45"/>
    <n v="30"/>
    <n v="3.92"/>
    <n v="50"/>
    <x v="22"/>
    <x v="65"/>
    <x v="58"/>
    <n v="2.61"/>
  </r>
  <r>
    <s v="E128"/>
    <x v="3"/>
    <n v="2"/>
    <n v="49"/>
    <n v="34"/>
    <n v="4.0599999999999996"/>
    <n v="45"/>
    <x v="96"/>
    <x v="56"/>
    <x v="1"/>
    <n v="2.82"/>
  </r>
  <r>
    <s v="E129"/>
    <x v="1"/>
    <n v="3"/>
    <n v="52"/>
    <n v="42"/>
    <n v="4.58"/>
    <n v="54"/>
    <x v="72"/>
    <x v="3"/>
    <x v="37"/>
    <n v="3.7"/>
  </r>
  <r>
    <s v="E130"/>
    <x v="2"/>
    <n v="6"/>
    <n v="36"/>
    <n v="30"/>
    <n v="4.7699999999999996"/>
    <n v="51"/>
    <x v="97"/>
    <x v="78"/>
    <x v="58"/>
    <n v="3.97"/>
  </r>
  <r>
    <s v="E131"/>
    <x v="1"/>
    <n v="3"/>
    <n v="32"/>
    <n v="24"/>
    <n v="3.66"/>
    <n v="51"/>
    <x v="30"/>
    <x v="29"/>
    <x v="9"/>
    <n v="2.75"/>
  </r>
  <r>
    <s v="E132"/>
    <x v="4"/>
    <n v="4"/>
    <n v="39"/>
    <n v="31"/>
    <n v="4.76"/>
    <n v="40"/>
    <x v="98"/>
    <x v="3"/>
    <x v="35"/>
    <n v="3.78"/>
  </r>
  <r>
    <s v="E133"/>
    <x v="1"/>
    <n v="3"/>
    <n v="41"/>
    <n v="29"/>
    <n v="4.01"/>
    <n v="53"/>
    <x v="27"/>
    <x v="43"/>
    <x v="22"/>
    <n v="2.84"/>
  </r>
  <r>
    <s v="E134"/>
    <x v="0"/>
    <n v="3"/>
    <n v="32"/>
    <n v="27"/>
    <n v="4.22"/>
    <n v="45"/>
    <x v="36"/>
    <x v="65"/>
    <x v="21"/>
    <n v="3.56"/>
  </r>
  <r>
    <s v="E135"/>
    <x v="1"/>
    <n v="2"/>
    <n v="37"/>
    <n v="30"/>
    <n v="4.3499999999999996"/>
    <n v="54"/>
    <x v="99"/>
    <x v="79"/>
    <x v="25"/>
    <n v="3.53"/>
  </r>
  <r>
    <s v="E136"/>
    <x v="3"/>
    <n v="2"/>
    <n v="35"/>
    <n v="32"/>
    <n v="4.41"/>
    <n v="47"/>
    <x v="100"/>
    <x v="80"/>
    <x v="24"/>
    <n v="4.03"/>
  </r>
  <r>
    <s v="E137"/>
    <x v="2"/>
    <n v="4"/>
    <n v="35"/>
    <n v="29"/>
    <n v="3.86"/>
    <n v="55"/>
    <x v="91"/>
    <x v="81"/>
    <x v="20"/>
    <n v="3.2"/>
  </r>
  <r>
    <s v="E138"/>
    <x v="4"/>
    <n v="4"/>
    <n v="35"/>
    <n v="25"/>
    <n v="3.74"/>
    <n v="42"/>
    <x v="57"/>
    <x v="4"/>
    <x v="44"/>
    <n v="2.67"/>
  </r>
  <r>
    <s v="E139"/>
    <x v="3"/>
    <n v="2"/>
    <n v="32"/>
    <n v="25"/>
    <n v="4.12"/>
    <n v="43"/>
    <x v="101"/>
    <x v="55"/>
    <x v="4"/>
    <n v="3.22"/>
  </r>
  <r>
    <s v="E140"/>
    <x v="1"/>
    <n v="3"/>
    <n v="40"/>
    <n v="36"/>
    <n v="4.7300000000000004"/>
    <n v="45"/>
    <x v="75"/>
    <x v="31"/>
    <x v="8"/>
    <n v="4.26"/>
  </r>
  <r>
    <s v="E141"/>
    <x v="2"/>
    <n v="5"/>
    <n v="54"/>
    <n v="46"/>
    <n v="4.3"/>
    <n v="59"/>
    <x v="102"/>
    <x v="74"/>
    <x v="59"/>
    <n v="3.66"/>
  </r>
  <r>
    <s v="E142"/>
    <x v="2"/>
    <n v="4"/>
    <n v="41"/>
    <n v="29"/>
    <n v="4.95"/>
    <n v="53"/>
    <x v="27"/>
    <x v="43"/>
    <x v="20"/>
    <n v="3.5"/>
  </r>
  <r>
    <s v="E143"/>
    <x v="2"/>
    <n v="4"/>
    <n v="49"/>
    <n v="35"/>
    <n v="3.67"/>
    <n v="59"/>
    <x v="57"/>
    <x v="82"/>
    <x v="32"/>
    <n v="2.62"/>
  </r>
  <r>
    <s v="E144"/>
    <x v="4"/>
    <n v="4"/>
    <n v="40"/>
    <n v="37"/>
    <n v="3.98"/>
    <n v="37"/>
    <x v="103"/>
    <x v="16"/>
    <x v="39"/>
    <n v="3.68"/>
  </r>
  <r>
    <s v="E145"/>
    <x v="3"/>
    <n v="3"/>
    <n v="47"/>
    <n v="36"/>
    <n v="4.32"/>
    <n v="49"/>
    <x v="84"/>
    <x v="30"/>
    <x v="8"/>
    <n v="3.31"/>
  </r>
  <r>
    <s v="E146"/>
    <x v="0"/>
    <n v="3"/>
    <n v="42"/>
    <n v="35"/>
    <n v="3.63"/>
    <n v="46"/>
    <x v="97"/>
    <x v="14"/>
    <x v="23"/>
    <n v="3.02"/>
  </r>
  <r>
    <s v="E147"/>
    <x v="3"/>
    <n v="2"/>
    <n v="38"/>
    <n v="31"/>
    <n v="4.21"/>
    <n v="46"/>
    <x v="104"/>
    <x v="83"/>
    <x v="60"/>
    <n v="3.43"/>
  </r>
  <r>
    <s v="E148"/>
    <x v="2"/>
    <n v="5"/>
    <n v="46"/>
    <n v="41"/>
    <n v="4.62"/>
    <n v="51"/>
    <x v="105"/>
    <x v="73"/>
    <x v="61"/>
    <n v="4.12"/>
  </r>
  <r>
    <s v="E149"/>
    <x v="4"/>
    <n v="4"/>
    <n v="40"/>
    <n v="37"/>
    <n v="3.77"/>
    <n v="37"/>
    <x v="103"/>
    <x v="16"/>
    <x v="39"/>
    <n v="3.49"/>
  </r>
  <r>
    <s v="E150"/>
    <x v="3"/>
    <n v="3"/>
    <n v="51"/>
    <n v="33"/>
    <n v="4.67"/>
    <n v="48"/>
    <x v="106"/>
    <x v="42"/>
    <x v="31"/>
    <n v="3.02"/>
  </r>
  <r>
    <s v="E151"/>
    <x v="4"/>
    <n v="4"/>
    <n v="32"/>
    <n v="22"/>
    <n v="4.72"/>
    <n v="44"/>
    <x v="46"/>
    <x v="28"/>
    <x v="62"/>
    <n v="3.25"/>
  </r>
  <r>
    <s v="E152"/>
    <x v="0"/>
    <n v="2"/>
    <n v="42"/>
    <n v="34"/>
    <n v="4.5199999999999996"/>
    <n v="49"/>
    <x v="107"/>
    <x v="70"/>
    <x v="1"/>
    <n v="3.66"/>
  </r>
  <r>
    <s v="E153"/>
    <x v="2"/>
    <n v="4"/>
    <n v="35"/>
    <n v="28"/>
    <n v="4.16"/>
    <n v="50"/>
    <x v="40"/>
    <x v="64"/>
    <x v="63"/>
    <n v="3.33"/>
  </r>
  <r>
    <s v="E154"/>
    <x v="3"/>
    <n v="2"/>
    <n v="30"/>
    <n v="23"/>
    <n v="4.3"/>
    <n v="44"/>
    <x v="34"/>
    <x v="67"/>
    <x v="27"/>
    <n v="3.3"/>
  </r>
  <r>
    <s v="E155"/>
    <x v="2"/>
    <n v="6"/>
    <n v="48"/>
    <n v="37"/>
    <n v="4"/>
    <n v="52"/>
    <x v="55"/>
    <x v="1"/>
    <x v="64"/>
    <n v="3.08"/>
  </r>
  <r>
    <s v="E156"/>
    <x v="1"/>
    <n v="3"/>
    <n v="49"/>
    <n v="43"/>
    <n v="4.43"/>
    <n v="48"/>
    <x v="108"/>
    <x v="75"/>
    <x v="56"/>
    <n v="3.89"/>
  </r>
  <r>
    <s v="E157"/>
    <x v="2"/>
    <n v="4"/>
    <n v="35"/>
    <n v="30"/>
    <n v="4.5599999999999996"/>
    <n v="56"/>
    <x v="32"/>
    <x v="84"/>
    <x v="65"/>
    <n v="3.91"/>
  </r>
  <r>
    <s v="E158"/>
    <x v="3"/>
    <n v="3"/>
    <n v="33"/>
    <n v="27"/>
    <n v="4.6399999999999997"/>
    <n v="49"/>
    <x v="109"/>
    <x v="85"/>
    <x v="21"/>
    <n v="3.8"/>
  </r>
  <r>
    <s v="E159"/>
    <x v="3"/>
    <n v="3"/>
    <n v="35"/>
    <n v="28"/>
    <n v="4.07"/>
    <n v="47"/>
    <x v="40"/>
    <x v="4"/>
    <x v="53"/>
    <n v="3.26"/>
  </r>
  <r>
    <s v="E160"/>
    <x v="0"/>
    <n v="3"/>
    <n v="44"/>
    <n v="39"/>
    <n v="3.72"/>
    <n v="45"/>
    <x v="110"/>
    <x v="86"/>
    <x v="40"/>
    <n v="3.3"/>
  </r>
  <r>
    <s v="E161"/>
    <x v="0"/>
    <n v="2"/>
    <n v="31"/>
    <n v="20"/>
    <n v="4.4000000000000004"/>
    <n v="45"/>
    <x v="111"/>
    <x v="9"/>
    <x v="17"/>
    <n v="2.84"/>
  </r>
  <r>
    <s v="E162"/>
    <x v="0"/>
    <n v="3"/>
    <n v="40"/>
    <n v="33"/>
    <n v="4.74"/>
    <n v="51"/>
    <x v="112"/>
    <x v="11"/>
    <x v="31"/>
    <n v="3.91"/>
  </r>
  <r>
    <s v="E163"/>
    <x v="1"/>
    <n v="3"/>
    <n v="40"/>
    <n v="27"/>
    <n v="4.38"/>
    <n v="46"/>
    <x v="113"/>
    <x v="78"/>
    <x v="21"/>
    <n v="2.96"/>
  </r>
  <r>
    <s v="E164"/>
    <x v="3"/>
    <n v="2"/>
    <n v="44"/>
    <n v="38"/>
    <n v="4.3899999999999997"/>
    <n v="43"/>
    <x v="0"/>
    <x v="47"/>
    <x v="0"/>
    <n v="3.79"/>
  </r>
  <r>
    <s v="E165"/>
    <x v="0"/>
    <n v="2"/>
    <n v="53"/>
    <n v="34"/>
    <n v="4.4800000000000004"/>
    <n v="42"/>
    <x v="114"/>
    <x v="73"/>
    <x v="1"/>
    <n v="2.87"/>
  </r>
  <r>
    <s v="E166"/>
    <x v="0"/>
    <n v="2"/>
    <n v="38"/>
    <n v="29"/>
    <n v="4.5999999999999996"/>
    <n v="49"/>
    <x v="115"/>
    <x v="82"/>
    <x v="11"/>
    <n v="3.51"/>
  </r>
  <r>
    <s v="E167"/>
    <x v="3"/>
    <n v="3"/>
    <n v="40"/>
    <n v="31"/>
    <n v="3.67"/>
    <n v="44"/>
    <x v="116"/>
    <x v="12"/>
    <x v="66"/>
    <n v="2.84"/>
  </r>
  <r>
    <s v="E168"/>
    <x v="1"/>
    <n v="3"/>
    <n v="33"/>
    <n v="22"/>
    <n v="4.88"/>
    <n v="50"/>
    <x v="22"/>
    <x v="87"/>
    <x v="36"/>
    <n v="3.25"/>
  </r>
  <r>
    <s v="E169"/>
    <x v="2"/>
    <n v="6"/>
    <n v="50"/>
    <n v="38"/>
    <n v="4.62"/>
    <n v="59"/>
    <x v="117"/>
    <x v="11"/>
    <x v="67"/>
    <n v="3.51"/>
  </r>
  <r>
    <s v="E170"/>
    <x v="0"/>
    <n v="2"/>
    <n v="50"/>
    <n v="41"/>
    <n v="3.67"/>
    <n v="45"/>
    <x v="3"/>
    <x v="5"/>
    <x v="68"/>
    <n v="3.01"/>
  </r>
  <r>
    <s v="E171"/>
    <x v="3"/>
    <n v="3"/>
    <n v="40"/>
    <n v="37"/>
    <n v="4.2"/>
    <n v="41"/>
    <x v="103"/>
    <x v="15"/>
    <x v="41"/>
    <n v="3.89"/>
  </r>
  <r>
    <s v="E172"/>
    <x v="2"/>
    <n v="4"/>
    <n v="40"/>
    <n v="26"/>
    <n v="4.87"/>
    <n v="55"/>
    <x v="118"/>
    <x v="88"/>
    <x v="12"/>
    <n v="3.17"/>
  </r>
  <r>
    <s v="E173"/>
    <x v="3"/>
    <n v="2"/>
    <n v="49"/>
    <n v="38"/>
    <n v="4.87"/>
    <n v="40"/>
    <x v="119"/>
    <x v="45"/>
    <x v="0"/>
    <n v="3.78"/>
  </r>
  <r>
    <s v="E174"/>
    <x v="4"/>
    <n v="3"/>
    <n v="40"/>
    <n v="33"/>
    <n v="3.52"/>
    <n v="39"/>
    <x v="112"/>
    <x v="89"/>
    <x v="31"/>
    <n v="2.9"/>
  </r>
  <r>
    <s v="E175"/>
    <x v="3"/>
    <n v="2"/>
    <n v="46"/>
    <n v="43"/>
    <n v="3.72"/>
    <n v="45"/>
    <x v="93"/>
    <x v="45"/>
    <x v="42"/>
    <n v="3.48"/>
  </r>
  <r>
    <s v="E176"/>
    <x v="0"/>
    <n v="2"/>
    <n v="37"/>
    <n v="29"/>
    <n v="4.3899999999999997"/>
    <n v="48"/>
    <x v="120"/>
    <x v="63"/>
    <x v="11"/>
    <n v="3.44"/>
  </r>
  <r>
    <s v="E177"/>
    <x v="2"/>
    <n v="6"/>
    <n v="53"/>
    <n v="48"/>
    <n v="3.81"/>
    <n v="50"/>
    <x v="66"/>
    <x v="90"/>
    <x v="9"/>
    <n v="3.45"/>
  </r>
  <r>
    <s v="E178"/>
    <x v="4"/>
    <n v="3"/>
    <n v="45"/>
    <n v="36"/>
    <n v="3.6"/>
    <n v="37"/>
    <x v="40"/>
    <x v="24"/>
    <x v="8"/>
    <n v="2.88"/>
  </r>
  <r>
    <s v="E179"/>
    <x v="1"/>
    <n v="3"/>
    <n v="51"/>
    <n v="39"/>
    <n v="4.0999999999999996"/>
    <n v="50"/>
    <x v="60"/>
    <x v="74"/>
    <x v="40"/>
    <n v="3.14"/>
  </r>
  <r>
    <s v="E180"/>
    <x v="2"/>
    <n v="6"/>
    <n v="33"/>
    <n v="23"/>
    <n v="4.79"/>
    <n v="56"/>
    <x v="39"/>
    <x v="91"/>
    <x v="69"/>
    <n v="3.34"/>
  </r>
  <r>
    <s v="E181"/>
    <x v="2"/>
    <n v="5"/>
    <n v="39"/>
    <n v="35"/>
    <n v="4.29"/>
    <n v="50"/>
    <x v="47"/>
    <x v="19"/>
    <x v="63"/>
    <n v="3.85"/>
  </r>
  <r>
    <s v="E182"/>
    <x v="0"/>
    <n v="3"/>
    <n v="47"/>
    <n v="42"/>
    <n v="4.1100000000000003"/>
    <n v="50"/>
    <x v="49"/>
    <x v="48"/>
    <x v="37"/>
    <n v="3.67"/>
  </r>
  <r>
    <s v="E183"/>
    <x v="2"/>
    <n v="6"/>
    <n v="37"/>
    <n v="25"/>
    <n v="4.7"/>
    <n v="52"/>
    <x v="121"/>
    <x v="33"/>
    <x v="70"/>
    <n v="3.18"/>
  </r>
  <r>
    <s v="E184"/>
    <x v="2"/>
    <n v="4"/>
    <n v="44"/>
    <n v="38"/>
    <n v="4.71"/>
    <n v="57"/>
    <x v="0"/>
    <x v="92"/>
    <x v="38"/>
    <n v="4.07"/>
  </r>
  <r>
    <s v="E185"/>
    <x v="2"/>
    <n v="4"/>
    <n v="51"/>
    <n v="36"/>
    <n v="3.94"/>
    <n v="51"/>
    <x v="79"/>
    <x v="12"/>
    <x v="21"/>
    <n v="2.78"/>
  </r>
  <r>
    <s v="E186"/>
    <x v="1"/>
    <n v="2"/>
    <n v="30"/>
    <n v="21"/>
    <n v="3.54"/>
    <n v="47"/>
    <x v="7"/>
    <x v="93"/>
    <x v="71"/>
    <n v="2.48"/>
  </r>
  <r>
    <s v="E187"/>
    <x v="0"/>
    <n v="2"/>
    <n v="47"/>
    <n v="43"/>
    <n v="4.7300000000000004"/>
    <n v="45"/>
    <x v="74"/>
    <x v="45"/>
    <x v="42"/>
    <n v="4.33"/>
  </r>
  <r>
    <s v="E188"/>
    <x v="2"/>
    <n v="5"/>
    <n v="31"/>
    <n v="23"/>
    <n v="3.55"/>
    <n v="53"/>
    <x v="87"/>
    <x v="94"/>
    <x v="72"/>
    <n v="2.63"/>
  </r>
  <r>
    <s v="E189"/>
    <x v="4"/>
    <n v="3"/>
    <n v="35"/>
    <n v="30"/>
    <n v="4.04"/>
    <n v="39"/>
    <x v="32"/>
    <x v="76"/>
    <x v="17"/>
    <n v="3.46"/>
  </r>
  <r>
    <s v="E190"/>
    <x v="0"/>
    <n v="2"/>
    <n v="49"/>
    <n v="46"/>
    <n v="4.67"/>
    <n v="42"/>
    <x v="122"/>
    <x v="95"/>
    <x v="73"/>
    <n v="4.38"/>
  </r>
  <r>
    <s v="E191"/>
    <x v="1"/>
    <n v="3"/>
    <n v="53"/>
    <n v="50"/>
    <n v="4.21"/>
    <n v="45"/>
    <x v="123"/>
    <x v="68"/>
    <x v="74"/>
    <n v="3.97"/>
  </r>
  <r>
    <s v="E192"/>
    <x v="1"/>
    <n v="2"/>
    <n v="46"/>
    <n v="33"/>
    <n v="4.3099999999999996"/>
    <n v="53"/>
    <x v="83"/>
    <x v="96"/>
    <x v="10"/>
    <n v="3.09"/>
  </r>
  <r>
    <s v="E193"/>
    <x v="3"/>
    <n v="3"/>
    <n v="51"/>
    <n v="45"/>
    <n v="4.9800000000000004"/>
    <n v="49"/>
    <x v="124"/>
    <x v="50"/>
    <x v="25"/>
    <n v="4.3899999999999997"/>
  </r>
  <r>
    <s v="E194"/>
    <x v="4"/>
    <n v="3"/>
    <n v="31"/>
    <n v="22"/>
    <n v="3.53"/>
    <n v="36"/>
    <x v="125"/>
    <x v="97"/>
    <x v="36"/>
    <n v="2.5099999999999998"/>
  </r>
  <r>
    <s v="E195"/>
    <x v="4"/>
    <n v="4"/>
    <n v="33"/>
    <n v="26"/>
    <n v="3.6"/>
    <n v="39"/>
    <x v="126"/>
    <x v="92"/>
    <x v="12"/>
    <n v="2.84"/>
  </r>
  <r>
    <s v="E196"/>
    <x v="3"/>
    <n v="3"/>
    <n v="41"/>
    <n v="29"/>
    <n v="3.52"/>
    <n v="44"/>
    <x v="27"/>
    <x v="54"/>
    <x v="22"/>
    <n v="2.4900000000000002"/>
  </r>
  <r>
    <s v="E197"/>
    <x v="2"/>
    <n v="4"/>
    <n v="35"/>
    <n v="30"/>
    <n v="3.88"/>
    <n v="58"/>
    <x v="32"/>
    <x v="98"/>
    <x v="65"/>
    <n v="3.33"/>
  </r>
  <r>
    <s v="E198"/>
    <x v="4"/>
    <n v="3"/>
    <n v="39"/>
    <n v="36"/>
    <n v="4.13"/>
    <n v="44"/>
    <x v="71"/>
    <x v="60"/>
    <x v="8"/>
    <n v="3.81"/>
  </r>
  <r>
    <s v="E199"/>
    <x v="1"/>
    <n v="3"/>
    <n v="51"/>
    <n v="44"/>
    <n v="3.62"/>
    <n v="48"/>
    <x v="88"/>
    <x v="50"/>
    <x v="54"/>
    <n v="3.12"/>
  </r>
  <r>
    <s v="E200"/>
    <x v="2"/>
    <n v="5"/>
    <n v="50"/>
    <n v="45"/>
    <n v="4.16"/>
    <n v="53"/>
    <x v="75"/>
    <x v="89"/>
    <x v="21"/>
    <n v="3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C43C4-461D-47E7-9978-1C27A152C8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omain">
  <location ref="A3:B9" firstHeaderRow="1" firstDataRow="1" firstDataCol="1"/>
  <pivotFields count="11">
    <pivotField showAll="0"/>
    <pivotField axis="axisRow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100">
        <item x="37"/>
        <item x="62"/>
        <item x="51"/>
        <item x="68"/>
        <item x="95"/>
        <item x="59"/>
        <item x="53"/>
        <item x="22"/>
        <item x="57"/>
        <item x="16"/>
        <item x="44"/>
        <item x="24"/>
        <item x="90"/>
        <item x="45"/>
        <item x="21"/>
        <item x="72"/>
        <item x="50"/>
        <item x="5"/>
        <item x="15"/>
        <item x="75"/>
        <item x="47"/>
        <item x="46"/>
        <item x="86"/>
        <item x="25"/>
        <item x="2"/>
        <item x="89"/>
        <item x="48"/>
        <item x="38"/>
        <item x="32"/>
        <item x="60"/>
        <item x="34"/>
        <item x="73"/>
        <item x="31"/>
        <item x="0"/>
        <item x="74"/>
        <item x="3"/>
        <item x="76"/>
        <item x="14"/>
        <item x="56"/>
        <item x="20"/>
        <item x="71"/>
        <item x="27"/>
        <item x="30"/>
        <item x="58"/>
        <item x="13"/>
        <item x="10"/>
        <item x="1"/>
        <item x="12"/>
        <item x="19"/>
        <item x="70"/>
        <item x="42"/>
        <item x="7"/>
        <item x="80"/>
        <item x="83"/>
        <item x="92"/>
        <item x="54"/>
        <item x="18"/>
        <item x="11"/>
        <item x="40"/>
        <item x="6"/>
        <item x="66"/>
        <item x="26"/>
        <item x="77"/>
        <item x="96"/>
        <item x="97"/>
        <item x="63"/>
        <item x="65"/>
        <item x="4"/>
        <item x="82"/>
        <item x="78"/>
        <item x="55"/>
        <item x="39"/>
        <item x="61"/>
        <item x="52"/>
        <item x="64"/>
        <item x="79"/>
        <item x="85"/>
        <item x="43"/>
        <item x="84"/>
        <item x="8"/>
        <item x="81"/>
        <item x="67"/>
        <item x="98"/>
        <item x="35"/>
        <item x="23"/>
        <item x="28"/>
        <item x="41"/>
        <item x="17"/>
        <item x="33"/>
        <item x="88"/>
        <item x="29"/>
        <item x="49"/>
        <item x="93"/>
        <item x="9"/>
        <item x="87"/>
        <item x="36"/>
        <item x="94"/>
        <item x="69"/>
        <item x="91"/>
        <item t="default"/>
      </items>
    </pivotField>
    <pivotField showAll="0"/>
    <pivotField showAll="0"/>
  </pivotFields>
  <rowFields count="1">
    <field x="1"/>
  </rowFields>
  <rowItems count="6">
    <i>
      <x v="4"/>
    </i>
    <i>
      <x v="3"/>
    </i>
    <i>
      <x/>
    </i>
    <i>
      <x v="2"/>
    </i>
    <i>
      <x v="1"/>
    </i>
    <i t="grand">
      <x/>
    </i>
  </rowItems>
  <colItems count="1">
    <i/>
  </colItems>
  <dataFields count="1">
    <dataField name="Average Cost per Task (Hourly_Cost / Tasks_Completed)" fld="8" subtotal="average" baseField="1" baseItem="0" numFmtId="2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48D40-56DD-4D1C-9C45-E7B89670A90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omain">
  <location ref="A3:B9" firstHeaderRow="1" firstDataRow="1" firstDataCol="1"/>
  <pivotFields count="11">
    <pivotField showAll="0"/>
    <pivotField axis="axisRow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76">
        <item x="69"/>
        <item x="70"/>
        <item x="72"/>
        <item x="58"/>
        <item x="62"/>
        <item x="26"/>
        <item x="47"/>
        <item x="33"/>
        <item x="64"/>
        <item x="44"/>
        <item x="67"/>
        <item x="12"/>
        <item x="51"/>
        <item x="28"/>
        <item x="15"/>
        <item x="63"/>
        <item x="20"/>
        <item x="36"/>
        <item x="65"/>
        <item x="6"/>
        <item x="35"/>
        <item x="9"/>
        <item x="61"/>
        <item x="57"/>
        <item x="16"/>
        <item x="32"/>
        <item x="21"/>
        <item x="59"/>
        <item x="39"/>
        <item x="53"/>
        <item x="2"/>
        <item x="38"/>
        <item x="22"/>
        <item x="50"/>
        <item x="17"/>
        <item x="66"/>
        <item x="71"/>
        <item x="48"/>
        <item x="31"/>
        <item x="46"/>
        <item x="27"/>
        <item x="23"/>
        <item x="8"/>
        <item x="41"/>
        <item x="4"/>
        <item x="13"/>
        <item x="40"/>
        <item x="43"/>
        <item x="30"/>
        <item x="3"/>
        <item x="37"/>
        <item x="56"/>
        <item x="11"/>
        <item x="54"/>
        <item x="25"/>
        <item x="14"/>
        <item x="60"/>
        <item x="34"/>
        <item x="24"/>
        <item x="10"/>
        <item x="74"/>
        <item x="1"/>
        <item x="7"/>
        <item x="18"/>
        <item x="0"/>
        <item x="5"/>
        <item x="68"/>
        <item x="29"/>
        <item x="42"/>
        <item x="55"/>
        <item x="73"/>
        <item x="45"/>
        <item x="19"/>
        <item x="49"/>
        <item x="52"/>
        <item t="default"/>
      </items>
    </pivotField>
    <pivotField showAll="0"/>
  </pivotFields>
  <rowFields count="1">
    <field x="1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Average of Productivity (Tasks_Completed / Onboarding_Days)" fld="9" subtotal="average" baseField="1" baseItem="3" numFmtId="2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0D825-21C8-4813-8200-03BB689489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omain">
  <location ref="A3:B9" firstHeaderRow="1" firstDataRow="1" firstDataCol="1"/>
  <pivotFields count="11">
    <pivotField showAll="0"/>
    <pivotField axis="axisRow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128">
        <item x="59"/>
        <item x="6"/>
        <item x="4"/>
        <item x="114"/>
        <item x="111"/>
        <item x="106"/>
        <item x="8"/>
        <item x="118"/>
        <item x="43"/>
        <item x="1"/>
        <item x="95"/>
        <item x="69"/>
        <item x="28"/>
        <item x="22"/>
        <item x="37"/>
        <item x="113"/>
        <item x="121"/>
        <item x="46"/>
        <item x="12"/>
        <item x="62"/>
        <item x="96"/>
        <item x="39"/>
        <item x="7"/>
        <item x="67"/>
        <item x="79"/>
        <item x="27"/>
        <item x="125"/>
        <item x="80"/>
        <item x="57"/>
        <item x="83"/>
        <item x="81"/>
        <item x="21"/>
        <item x="82"/>
        <item x="9"/>
        <item x="16"/>
        <item x="45"/>
        <item x="64"/>
        <item x="58"/>
        <item x="87"/>
        <item x="48"/>
        <item x="30"/>
        <item x="53"/>
        <item x="117"/>
        <item x="77"/>
        <item x="115"/>
        <item x="60"/>
        <item x="84"/>
        <item x="34"/>
        <item x="56"/>
        <item x="55"/>
        <item x="19"/>
        <item x="50"/>
        <item x="116"/>
        <item x="119"/>
        <item x="29"/>
        <item x="101"/>
        <item x="120"/>
        <item x="126"/>
        <item x="18"/>
        <item x="98"/>
        <item x="42"/>
        <item x="92"/>
        <item x="40"/>
        <item x="72"/>
        <item x="107"/>
        <item x="99"/>
        <item x="38"/>
        <item x="89"/>
        <item x="104"/>
        <item x="5"/>
        <item x="109"/>
        <item x="3"/>
        <item x="51"/>
        <item x="112"/>
        <item x="91"/>
        <item x="94"/>
        <item x="97"/>
        <item x="31"/>
        <item x="76"/>
        <item x="36"/>
        <item x="14"/>
        <item x="26"/>
        <item x="63"/>
        <item x="102"/>
        <item x="25"/>
        <item x="32"/>
        <item x="70"/>
        <item x="90"/>
        <item x="88"/>
        <item x="0"/>
        <item x="13"/>
        <item x="10"/>
        <item x="33"/>
        <item x="108"/>
        <item x="124"/>
        <item x="110"/>
        <item x="24"/>
        <item x="105"/>
        <item x="11"/>
        <item x="49"/>
        <item x="68"/>
        <item x="61"/>
        <item x="47"/>
        <item x="75"/>
        <item x="17"/>
        <item x="73"/>
        <item x="23"/>
        <item x="66"/>
        <item x="78"/>
        <item x="20"/>
        <item x="44"/>
        <item x="100"/>
        <item x="74"/>
        <item x="15"/>
        <item x="41"/>
        <item x="71"/>
        <item x="103"/>
        <item x="85"/>
        <item x="52"/>
        <item x="54"/>
        <item x="35"/>
        <item x="93"/>
        <item x="65"/>
        <item x="122"/>
        <item x="2"/>
        <item x="86"/>
        <item x="123"/>
        <item t="default"/>
      </items>
    </pivotField>
    <pivotField showAll="0"/>
    <pivotField showAll="0"/>
    <pivotField showAll="0"/>
  </pivotFields>
  <rowFields count="1">
    <field x="1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Average of Completion Rate % (Tasks_Completed/Tasks_Assigned)" fld="7" subtotal="average" baseField="1" baseItem="0"/>
  </dataFields>
  <formats count="2">
    <format dxfId="6">
      <pivotArea collapsedLevelsAreSubtotals="1" fieldPosition="0">
        <references count="1">
          <reference field="1" count="0"/>
        </references>
      </pivotArea>
    </format>
    <format dxfId="5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989B3-7B27-4671-803D-C0E03DF87B0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omain">
  <location ref="A3:B9" firstHeaderRow="1" firstDataRow="1" firstDataCol="1"/>
  <pivotFields count="11">
    <pivotField showAll="0"/>
    <pivotField axis="axisRow" showAll="0" sortType="descending">
      <items count="6">
        <item x="0"/>
        <item x="4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Average of Quality Index = Completion Rate × Quality_Score" fld="10" subtotal="average" baseField="1" baseItem="0" numFmtId="2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82D9-949D-4BE6-9E2C-0F1EFD3F4830}">
  <dimension ref="A3:B9"/>
  <sheetViews>
    <sheetView tabSelected="1" workbookViewId="0">
      <selection activeCell="B4" sqref="B4"/>
    </sheetView>
  </sheetViews>
  <sheetFormatPr defaultRowHeight="14.4" x14ac:dyDescent="0.3"/>
  <cols>
    <col min="1" max="1" width="10.77734375" bestFit="1" customWidth="1"/>
    <col min="2" max="2" width="49" bestFit="1" customWidth="1"/>
  </cols>
  <sheetData>
    <row r="3" spans="1:2" x14ac:dyDescent="0.3">
      <c r="A3" s="10" t="s">
        <v>1</v>
      </c>
      <c r="B3" t="s">
        <v>232</v>
      </c>
    </row>
    <row r="4" spans="1:2" x14ac:dyDescent="0.3">
      <c r="A4" s="11" t="s">
        <v>18</v>
      </c>
      <c r="B4" s="12">
        <v>1.6626315789473678</v>
      </c>
    </row>
    <row r="5" spans="1:2" x14ac:dyDescent="0.3">
      <c r="A5" s="11" t="s">
        <v>16</v>
      </c>
      <c r="B5" s="12">
        <v>1.4746341463414634</v>
      </c>
    </row>
    <row r="6" spans="1:2" x14ac:dyDescent="0.3">
      <c r="A6" s="11" t="s">
        <v>14</v>
      </c>
      <c r="B6" s="12">
        <v>1.425238095238095</v>
      </c>
    </row>
    <row r="7" spans="1:2" x14ac:dyDescent="0.3">
      <c r="A7" s="11" t="s">
        <v>21</v>
      </c>
      <c r="B7" s="12">
        <v>1.404186046511628</v>
      </c>
    </row>
    <row r="8" spans="1:2" x14ac:dyDescent="0.3">
      <c r="A8" s="11" t="s">
        <v>24</v>
      </c>
      <c r="B8" s="12">
        <v>1.2613888888888889</v>
      </c>
    </row>
    <row r="9" spans="1:2" x14ac:dyDescent="0.3">
      <c r="A9" s="11" t="s">
        <v>230</v>
      </c>
      <c r="B9" s="12">
        <v>1.4464500000000009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C4A2-1B04-4CBC-8346-E747DF91D8E4}">
  <dimension ref="A3:B9"/>
  <sheetViews>
    <sheetView workbookViewId="0">
      <selection activeCell="B22" sqref="B22"/>
    </sheetView>
  </sheetViews>
  <sheetFormatPr defaultRowHeight="14.4" x14ac:dyDescent="0.3"/>
  <cols>
    <col min="1" max="1" width="10.77734375" bestFit="1" customWidth="1"/>
    <col min="2" max="2" width="55.33203125" bestFit="1" customWidth="1"/>
  </cols>
  <sheetData>
    <row r="3" spans="1:2" x14ac:dyDescent="0.3">
      <c r="A3" s="10" t="s">
        <v>1</v>
      </c>
      <c r="B3" t="s">
        <v>233</v>
      </c>
    </row>
    <row r="4" spans="1:2" x14ac:dyDescent="0.3">
      <c r="A4" s="11" t="s">
        <v>16</v>
      </c>
      <c r="B4" s="12">
        <v>14.557073170731705</v>
      </c>
    </row>
    <row r="5" spans="1:2" x14ac:dyDescent="0.3">
      <c r="A5" s="11" t="s">
        <v>14</v>
      </c>
      <c r="B5" s="12">
        <v>14.555476190476192</v>
      </c>
    </row>
    <row r="6" spans="1:2" x14ac:dyDescent="0.3">
      <c r="A6" s="11" t="s">
        <v>21</v>
      </c>
      <c r="B6" s="12">
        <v>13.38767441860465</v>
      </c>
    </row>
    <row r="7" spans="1:2" x14ac:dyDescent="0.3">
      <c r="A7" s="11" t="s">
        <v>24</v>
      </c>
      <c r="B7" s="12">
        <v>9.4608333333333334</v>
      </c>
    </row>
    <row r="8" spans="1:2" x14ac:dyDescent="0.3">
      <c r="A8" s="11" t="s">
        <v>18</v>
      </c>
      <c r="B8" s="12">
        <v>7.2492105263157889</v>
      </c>
    </row>
    <row r="9" spans="1:2" x14ac:dyDescent="0.3">
      <c r="A9" s="11" t="s">
        <v>230</v>
      </c>
      <c r="B9" s="12">
        <v>11.999500000000001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61A6-903B-4FDD-8E89-D085CC337A03}">
  <dimension ref="A3:B9"/>
  <sheetViews>
    <sheetView workbookViewId="0">
      <selection activeCell="B4" sqref="B4"/>
    </sheetView>
  </sheetViews>
  <sheetFormatPr defaultRowHeight="14.4" x14ac:dyDescent="0.3"/>
  <cols>
    <col min="1" max="1" width="10.77734375" bestFit="1" customWidth="1"/>
    <col min="2" max="2" width="58.109375" bestFit="1" customWidth="1"/>
  </cols>
  <sheetData>
    <row r="3" spans="1:2" x14ac:dyDescent="0.3">
      <c r="A3" s="10" t="s">
        <v>1</v>
      </c>
      <c r="B3" t="s">
        <v>231</v>
      </c>
    </row>
    <row r="4" spans="1:2" x14ac:dyDescent="0.3">
      <c r="A4" s="11" t="s">
        <v>18</v>
      </c>
      <c r="B4" s="12">
        <v>80.564736842105276</v>
      </c>
    </row>
    <row r="5" spans="1:2" x14ac:dyDescent="0.3">
      <c r="A5" s="11" t="s">
        <v>14</v>
      </c>
      <c r="B5" s="12">
        <v>80.429047619047623</v>
      </c>
    </row>
    <row r="6" spans="1:2" x14ac:dyDescent="0.3">
      <c r="A6" s="11" t="s">
        <v>16</v>
      </c>
      <c r="B6" s="12">
        <v>79.556829268292688</v>
      </c>
    </row>
    <row r="7" spans="1:2" x14ac:dyDescent="0.3">
      <c r="A7" s="11" t="s">
        <v>21</v>
      </c>
      <c r="B7" s="12">
        <v>79.423023255813959</v>
      </c>
    </row>
    <row r="8" spans="1:2" x14ac:dyDescent="0.3">
      <c r="A8" s="11" t="s">
        <v>24</v>
      </c>
      <c r="B8" s="12">
        <v>78.026111111111106</v>
      </c>
    </row>
    <row r="9" spans="1:2" x14ac:dyDescent="0.3">
      <c r="A9" s="11" t="s">
        <v>230</v>
      </c>
      <c r="B9" s="12">
        <v>79.627199999999974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C57E-552F-4E2E-B3BB-3053FB0C5FC0}">
  <dimension ref="A3:B9"/>
  <sheetViews>
    <sheetView workbookViewId="0">
      <selection activeCell="I25" sqref="I25"/>
    </sheetView>
  </sheetViews>
  <sheetFormatPr defaultRowHeight="14.4" x14ac:dyDescent="0.3"/>
  <cols>
    <col min="1" max="1" width="12.5546875" bestFit="1" customWidth="1"/>
    <col min="2" max="2" width="52.21875" bestFit="1" customWidth="1"/>
  </cols>
  <sheetData>
    <row r="3" spans="1:2" x14ac:dyDescent="0.3">
      <c r="A3" s="10" t="s">
        <v>1</v>
      </c>
      <c r="B3" t="s">
        <v>234</v>
      </c>
    </row>
    <row r="4" spans="1:2" x14ac:dyDescent="0.3">
      <c r="A4" s="11" t="s">
        <v>14</v>
      </c>
      <c r="B4" s="12">
        <v>3.5430952380952383</v>
      </c>
    </row>
    <row r="5" spans="1:2" x14ac:dyDescent="0.3">
      <c r="A5" s="11" t="s">
        <v>18</v>
      </c>
      <c r="B5" s="12">
        <v>3.4000000000000004</v>
      </c>
    </row>
    <row r="6" spans="1:2" x14ac:dyDescent="0.3">
      <c r="A6" s="11" t="s">
        <v>21</v>
      </c>
      <c r="B6" s="12">
        <v>3.3753488372093021</v>
      </c>
    </row>
    <row r="7" spans="1:2" x14ac:dyDescent="0.3">
      <c r="A7" s="11" t="s">
        <v>16</v>
      </c>
      <c r="B7" s="12">
        <v>3.3734146341463416</v>
      </c>
    </row>
    <row r="8" spans="1:2" x14ac:dyDescent="0.3">
      <c r="A8" s="11" t="s">
        <v>24</v>
      </c>
      <c r="B8" s="12">
        <v>3.2369444444444451</v>
      </c>
    </row>
    <row r="9" spans="1:2" x14ac:dyDescent="0.3">
      <c r="A9" s="11" t="s">
        <v>230</v>
      </c>
      <c r="B9" s="12">
        <v>3.3899500000000029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D368-4499-4744-999A-F28F7FC022DA}">
  <dimension ref="A1:R201"/>
  <sheetViews>
    <sheetView topLeftCell="G1" workbookViewId="0">
      <selection activeCell="L15" sqref="L15"/>
    </sheetView>
  </sheetViews>
  <sheetFormatPr defaultRowHeight="14.4" x14ac:dyDescent="0.3"/>
  <cols>
    <col min="8" max="8" width="41.5546875" customWidth="1"/>
    <col min="9" max="9" width="16.6640625" customWidth="1"/>
    <col min="10" max="10" width="20.44140625" customWidth="1"/>
    <col min="11" max="11" width="18.21875" customWidth="1"/>
    <col min="12" max="12" width="26.88671875" customWidth="1"/>
    <col min="13" max="13" width="30.33203125" customWidth="1"/>
  </cols>
  <sheetData>
    <row r="1" spans="1:18" ht="59.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</row>
    <row r="2" spans="1:18" x14ac:dyDescent="0.3">
      <c r="A2" s="8" t="s">
        <v>13</v>
      </c>
      <c r="B2" s="8" t="s">
        <v>14</v>
      </c>
      <c r="C2" s="8">
        <v>2</v>
      </c>
      <c r="D2" s="8">
        <v>44</v>
      </c>
      <c r="E2" s="8">
        <v>38</v>
      </c>
      <c r="F2" s="8">
        <v>4.4000000000000004</v>
      </c>
      <c r="G2" s="8">
        <v>48</v>
      </c>
      <c r="H2" s="8">
        <f>ROUND(E2/D2*100,2)</f>
        <v>86.36</v>
      </c>
      <c r="I2" s="8">
        <f>ROUND(G2/E2,2)</f>
        <v>1.26</v>
      </c>
      <c r="J2" s="8">
        <f>ROUND(E2/C2,2)</f>
        <v>19</v>
      </c>
      <c r="K2" s="8">
        <f>ROUND(F2*H2/100,2)</f>
        <v>3.8</v>
      </c>
      <c r="L2" s="2" t="str">
        <f>IF(K2&gt;4,"Top Performer",IF(K2&gt;=3.2,"Solid Performer","At Risk"))</f>
        <v>Solid Performer</v>
      </c>
    </row>
    <row r="3" spans="1:18" x14ac:dyDescent="0.3">
      <c r="A3" s="8" t="s">
        <v>15</v>
      </c>
      <c r="B3" s="8" t="s">
        <v>16</v>
      </c>
      <c r="C3" s="8">
        <v>2</v>
      </c>
      <c r="D3" s="8">
        <v>52</v>
      </c>
      <c r="E3" s="8">
        <v>34</v>
      </c>
      <c r="F3" s="8">
        <v>4.8</v>
      </c>
      <c r="G3" s="8">
        <v>48</v>
      </c>
      <c r="H3" s="8">
        <f t="shared" ref="H3:H66" si="0">ROUND(E3/D3*100,2)</f>
        <v>65.38</v>
      </c>
      <c r="I3" s="8">
        <f t="shared" ref="I3:I66" si="1">ROUND(G3/E3,2)</f>
        <v>1.41</v>
      </c>
      <c r="J3" s="8">
        <f t="shared" ref="J3:J66" si="2">ROUND(E3/C3,2)</f>
        <v>17</v>
      </c>
      <c r="K3" s="8">
        <f t="shared" ref="K3:K66" si="3">ROUND(F3*H3/100,2)</f>
        <v>3.14</v>
      </c>
      <c r="L3" s="2" t="str">
        <f t="shared" ref="L3:L66" si="4">IF(K3&gt;4,"Top Performer",IF(K3&gt;=3.2,"Solid Performer","At Risk"))</f>
        <v>At Risk</v>
      </c>
    </row>
    <row r="4" spans="1:18" x14ac:dyDescent="0.3">
      <c r="A4" s="8" t="s">
        <v>17</v>
      </c>
      <c r="B4" s="8" t="s">
        <v>18</v>
      </c>
      <c r="C4" s="8">
        <v>5</v>
      </c>
      <c r="D4" s="8">
        <v>50</v>
      </c>
      <c r="E4" s="8">
        <v>47</v>
      </c>
      <c r="F4" s="8">
        <v>4.75</v>
      </c>
      <c r="G4" s="8">
        <v>55</v>
      </c>
      <c r="H4" s="8">
        <f t="shared" si="0"/>
        <v>94</v>
      </c>
      <c r="I4" s="8">
        <f t="shared" si="1"/>
        <v>1.17</v>
      </c>
      <c r="J4" s="8">
        <f t="shared" si="2"/>
        <v>9.4</v>
      </c>
      <c r="K4" s="8">
        <f t="shared" si="3"/>
        <v>4.47</v>
      </c>
      <c r="L4" s="2" t="str">
        <f t="shared" si="4"/>
        <v>Top Performer</v>
      </c>
    </row>
    <row r="5" spans="1:18" x14ac:dyDescent="0.3">
      <c r="A5" s="8" t="s">
        <v>19</v>
      </c>
      <c r="B5" s="8" t="s">
        <v>16</v>
      </c>
      <c r="C5" s="8">
        <v>3</v>
      </c>
      <c r="D5" s="8">
        <v>50</v>
      </c>
      <c r="E5" s="8">
        <v>41</v>
      </c>
      <c r="F5" s="8">
        <v>4.42</v>
      </c>
      <c r="G5" s="8">
        <v>53</v>
      </c>
      <c r="H5" s="8">
        <f t="shared" si="0"/>
        <v>82</v>
      </c>
      <c r="I5" s="8">
        <f t="shared" si="1"/>
        <v>1.29</v>
      </c>
      <c r="J5" s="8">
        <f t="shared" si="2"/>
        <v>13.67</v>
      </c>
      <c r="K5" s="8">
        <f t="shared" si="3"/>
        <v>3.62</v>
      </c>
      <c r="L5" s="2" t="str">
        <f t="shared" si="4"/>
        <v>Solid Performer</v>
      </c>
    </row>
    <row r="6" spans="1:18" x14ac:dyDescent="0.3">
      <c r="A6" s="8" t="s">
        <v>20</v>
      </c>
      <c r="B6" s="8" t="s">
        <v>21</v>
      </c>
      <c r="C6" s="8">
        <v>2</v>
      </c>
      <c r="D6" s="8">
        <v>39</v>
      </c>
      <c r="E6" s="8">
        <v>25</v>
      </c>
      <c r="F6" s="8">
        <v>4.96</v>
      </c>
      <c r="G6" s="8">
        <v>42</v>
      </c>
      <c r="H6" s="8">
        <f t="shared" si="0"/>
        <v>64.099999999999994</v>
      </c>
      <c r="I6" s="8">
        <f t="shared" si="1"/>
        <v>1.68</v>
      </c>
      <c r="J6" s="8">
        <f t="shared" si="2"/>
        <v>12.5</v>
      </c>
      <c r="K6" s="8">
        <f t="shared" si="3"/>
        <v>3.18</v>
      </c>
      <c r="L6" s="2" t="str">
        <f t="shared" si="4"/>
        <v>At Risk</v>
      </c>
    </row>
    <row r="7" spans="1:18" x14ac:dyDescent="0.3">
      <c r="A7" s="8" t="s">
        <v>22</v>
      </c>
      <c r="B7" s="8" t="s">
        <v>14</v>
      </c>
      <c r="C7" s="8">
        <v>2</v>
      </c>
      <c r="D7" s="8">
        <v>49</v>
      </c>
      <c r="E7" s="8">
        <v>40</v>
      </c>
      <c r="F7" s="8">
        <v>3.57</v>
      </c>
      <c r="G7" s="8">
        <v>44</v>
      </c>
      <c r="H7" s="8">
        <f t="shared" si="0"/>
        <v>81.63</v>
      </c>
      <c r="I7" s="8">
        <f t="shared" si="1"/>
        <v>1.1000000000000001</v>
      </c>
      <c r="J7" s="8">
        <f t="shared" si="2"/>
        <v>20</v>
      </c>
      <c r="K7" s="8">
        <f t="shared" si="3"/>
        <v>2.91</v>
      </c>
      <c r="L7" s="2" t="str">
        <f t="shared" si="4"/>
        <v>At Risk</v>
      </c>
    </row>
    <row r="8" spans="1:18" x14ac:dyDescent="0.3">
      <c r="A8" s="8" t="s">
        <v>23</v>
      </c>
      <c r="B8" s="8" t="s">
        <v>24</v>
      </c>
      <c r="C8" s="8">
        <v>3</v>
      </c>
      <c r="D8" s="8">
        <v>36</v>
      </c>
      <c r="E8" s="8">
        <v>23</v>
      </c>
      <c r="F8" s="8">
        <v>4.91</v>
      </c>
      <c r="G8" s="8">
        <v>36</v>
      </c>
      <c r="H8" s="8">
        <f t="shared" si="0"/>
        <v>63.89</v>
      </c>
      <c r="I8" s="8">
        <f t="shared" si="1"/>
        <v>1.57</v>
      </c>
      <c r="J8" s="8">
        <f t="shared" si="2"/>
        <v>7.67</v>
      </c>
      <c r="K8" s="8">
        <f t="shared" si="3"/>
        <v>3.14</v>
      </c>
      <c r="L8" s="2" t="str">
        <f t="shared" si="4"/>
        <v>At Risk</v>
      </c>
    </row>
    <row r="9" spans="1:18" x14ac:dyDescent="0.3">
      <c r="A9" s="8" t="s">
        <v>25</v>
      </c>
      <c r="B9" s="8" t="s">
        <v>16</v>
      </c>
      <c r="C9" s="8">
        <v>2</v>
      </c>
      <c r="D9" s="8">
        <v>50</v>
      </c>
      <c r="E9" s="8">
        <v>35</v>
      </c>
      <c r="F9" s="8">
        <v>3.86</v>
      </c>
      <c r="G9" s="8">
        <v>51</v>
      </c>
      <c r="H9" s="8">
        <f t="shared" si="0"/>
        <v>70</v>
      </c>
      <c r="I9" s="8">
        <f t="shared" si="1"/>
        <v>1.46</v>
      </c>
      <c r="J9" s="8">
        <f t="shared" si="2"/>
        <v>17.5</v>
      </c>
      <c r="K9" s="8">
        <f t="shared" si="3"/>
        <v>2.7</v>
      </c>
      <c r="L9" s="2" t="str">
        <f t="shared" si="4"/>
        <v>At Risk</v>
      </c>
    </row>
    <row r="10" spans="1:18" x14ac:dyDescent="0.3">
      <c r="A10" s="8" t="s">
        <v>26</v>
      </c>
      <c r="B10" s="8" t="s">
        <v>14</v>
      </c>
      <c r="C10" s="8">
        <v>2</v>
      </c>
      <c r="D10" s="8">
        <v>37</v>
      </c>
      <c r="E10" s="8">
        <v>24</v>
      </c>
      <c r="F10" s="8">
        <v>4.8600000000000003</v>
      </c>
      <c r="G10" s="8">
        <v>45</v>
      </c>
      <c r="H10" s="8">
        <f t="shared" si="0"/>
        <v>64.86</v>
      </c>
      <c r="I10" s="8">
        <f t="shared" si="1"/>
        <v>1.88</v>
      </c>
      <c r="J10" s="8">
        <f t="shared" si="2"/>
        <v>12</v>
      </c>
      <c r="K10" s="8">
        <f t="shared" si="3"/>
        <v>3.15</v>
      </c>
      <c r="L10" s="2" t="str">
        <f t="shared" si="4"/>
        <v>At Risk</v>
      </c>
    </row>
    <row r="11" spans="1:18" x14ac:dyDescent="0.3">
      <c r="A11" s="8" t="s">
        <v>27</v>
      </c>
      <c r="B11" s="8" t="s">
        <v>16</v>
      </c>
      <c r="C11" s="8">
        <v>3</v>
      </c>
      <c r="D11" s="8">
        <v>33</v>
      </c>
      <c r="E11" s="8">
        <v>24</v>
      </c>
      <c r="F11" s="8">
        <v>4.28</v>
      </c>
      <c r="G11" s="8">
        <v>54</v>
      </c>
      <c r="H11" s="8">
        <f t="shared" si="0"/>
        <v>72.73</v>
      </c>
      <c r="I11" s="8">
        <f t="shared" si="1"/>
        <v>2.25</v>
      </c>
      <c r="J11" s="8">
        <f t="shared" si="2"/>
        <v>8</v>
      </c>
      <c r="K11" s="8">
        <f t="shared" si="3"/>
        <v>3.11</v>
      </c>
      <c r="L11" s="2" t="str">
        <f t="shared" si="4"/>
        <v>At Risk</v>
      </c>
    </row>
    <row r="12" spans="1:18" x14ac:dyDescent="0.3">
      <c r="A12" s="8" t="s">
        <v>28</v>
      </c>
      <c r="B12" s="8" t="s">
        <v>14</v>
      </c>
      <c r="C12" s="8">
        <v>3</v>
      </c>
      <c r="D12" s="8">
        <v>47</v>
      </c>
      <c r="E12" s="8">
        <v>41</v>
      </c>
      <c r="F12" s="8">
        <v>4.91</v>
      </c>
      <c r="G12" s="8">
        <v>45</v>
      </c>
      <c r="H12" s="8">
        <f t="shared" si="0"/>
        <v>87.23</v>
      </c>
      <c r="I12" s="8">
        <f t="shared" si="1"/>
        <v>1.1000000000000001</v>
      </c>
      <c r="J12" s="8">
        <f t="shared" si="2"/>
        <v>13.67</v>
      </c>
      <c r="K12" s="8">
        <f t="shared" si="3"/>
        <v>4.28</v>
      </c>
      <c r="L12" s="2" t="str">
        <f t="shared" si="4"/>
        <v>Top Performer</v>
      </c>
    </row>
    <row r="13" spans="1:18" x14ac:dyDescent="0.3">
      <c r="A13" s="8" t="s">
        <v>29</v>
      </c>
      <c r="B13" s="8" t="s">
        <v>14</v>
      </c>
      <c r="C13" s="8">
        <v>2</v>
      </c>
      <c r="D13" s="8">
        <v>37</v>
      </c>
      <c r="E13" s="8">
        <v>33</v>
      </c>
      <c r="F13" s="8">
        <v>4.62</v>
      </c>
      <c r="G13" s="8">
        <v>46</v>
      </c>
      <c r="H13" s="8">
        <f t="shared" si="0"/>
        <v>89.19</v>
      </c>
      <c r="I13" s="8">
        <f t="shared" si="1"/>
        <v>1.39</v>
      </c>
      <c r="J13" s="8">
        <f t="shared" si="2"/>
        <v>16.5</v>
      </c>
      <c r="K13" s="8">
        <f t="shared" si="3"/>
        <v>4.12</v>
      </c>
      <c r="L13" s="2" t="str">
        <f t="shared" si="4"/>
        <v>Top Performer</v>
      </c>
    </row>
    <row r="14" spans="1:18" x14ac:dyDescent="0.3">
      <c r="A14" s="8" t="s">
        <v>30</v>
      </c>
      <c r="B14" s="8" t="s">
        <v>16</v>
      </c>
      <c r="C14" s="8">
        <v>2</v>
      </c>
      <c r="D14" s="8">
        <v>42</v>
      </c>
      <c r="E14" s="8">
        <v>29</v>
      </c>
      <c r="F14" s="8">
        <v>4.7</v>
      </c>
      <c r="G14" s="8">
        <v>45</v>
      </c>
      <c r="H14" s="8">
        <f t="shared" si="0"/>
        <v>69.05</v>
      </c>
      <c r="I14" s="8">
        <f t="shared" si="1"/>
        <v>1.55</v>
      </c>
      <c r="J14" s="8">
        <f t="shared" si="2"/>
        <v>14.5</v>
      </c>
      <c r="K14" s="8">
        <f t="shared" si="3"/>
        <v>3.25</v>
      </c>
      <c r="L14" s="2" t="str">
        <f t="shared" si="4"/>
        <v>Solid Performer</v>
      </c>
    </row>
    <row r="15" spans="1:18" x14ac:dyDescent="0.3">
      <c r="A15" s="8" t="s">
        <v>31</v>
      </c>
      <c r="B15" s="8" t="s">
        <v>21</v>
      </c>
      <c r="C15" s="8">
        <v>2</v>
      </c>
      <c r="D15" s="8">
        <v>38</v>
      </c>
      <c r="E15" s="8">
        <v>33</v>
      </c>
      <c r="F15" s="8">
        <v>3.8</v>
      </c>
      <c r="G15" s="8">
        <v>47</v>
      </c>
      <c r="H15" s="8">
        <f t="shared" si="0"/>
        <v>86.84</v>
      </c>
      <c r="I15" s="8">
        <f t="shared" si="1"/>
        <v>1.42</v>
      </c>
      <c r="J15" s="8">
        <f t="shared" si="2"/>
        <v>16.5</v>
      </c>
      <c r="K15" s="8">
        <f t="shared" si="3"/>
        <v>3.3</v>
      </c>
      <c r="L15" s="2" t="str">
        <f t="shared" si="4"/>
        <v>Solid Performer</v>
      </c>
      <c r="R15" s="1"/>
    </row>
    <row r="16" spans="1:18" x14ac:dyDescent="0.3">
      <c r="A16" s="8" t="s">
        <v>32</v>
      </c>
      <c r="B16" s="8" t="s">
        <v>18</v>
      </c>
      <c r="C16" s="8">
        <v>6</v>
      </c>
      <c r="D16" s="8">
        <v>46</v>
      </c>
      <c r="E16" s="8">
        <v>39</v>
      </c>
      <c r="F16" s="8">
        <v>4.6900000000000004</v>
      </c>
      <c r="G16" s="8">
        <v>54</v>
      </c>
      <c r="H16" s="8">
        <f t="shared" si="0"/>
        <v>84.78</v>
      </c>
      <c r="I16" s="8">
        <f t="shared" si="1"/>
        <v>1.38</v>
      </c>
      <c r="J16" s="8">
        <f t="shared" si="2"/>
        <v>6.5</v>
      </c>
      <c r="K16" s="8">
        <f t="shared" si="3"/>
        <v>3.98</v>
      </c>
      <c r="L16" s="2" t="str">
        <f t="shared" si="4"/>
        <v>Solid Performer</v>
      </c>
    </row>
    <row r="17" spans="1:12" x14ac:dyDescent="0.3">
      <c r="A17" s="8" t="s">
        <v>33</v>
      </c>
      <c r="B17" s="8" t="s">
        <v>16</v>
      </c>
      <c r="C17" s="8">
        <v>2</v>
      </c>
      <c r="D17" s="8">
        <v>38</v>
      </c>
      <c r="E17" s="8">
        <v>35</v>
      </c>
      <c r="F17" s="8">
        <v>4.78</v>
      </c>
      <c r="G17" s="8">
        <v>46</v>
      </c>
      <c r="H17" s="8">
        <f t="shared" si="0"/>
        <v>92.11</v>
      </c>
      <c r="I17" s="8">
        <f t="shared" si="1"/>
        <v>1.31</v>
      </c>
      <c r="J17" s="8">
        <f t="shared" si="2"/>
        <v>17.5</v>
      </c>
      <c r="K17" s="8">
        <f t="shared" si="3"/>
        <v>4.4000000000000004</v>
      </c>
      <c r="L17" s="2" t="str">
        <f t="shared" si="4"/>
        <v>Top Performer</v>
      </c>
    </row>
    <row r="18" spans="1:12" x14ac:dyDescent="0.3">
      <c r="A18" s="8" t="s">
        <v>34</v>
      </c>
      <c r="B18" s="8" t="s">
        <v>21</v>
      </c>
      <c r="C18" s="8">
        <v>3</v>
      </c>
      <c r="D18" s="8">
        <v>52</v>
      </c>
      <c r="E18" s="8">
        <v>38</v>
      </c>
      <c r="F18" s="8">
        <v>3.99</v>
      </c>
      <c r="G18" s="8">
        <v>42</v>
      </c>
      <c r="H18" s="8">
        <f t="shared" si="0"/>
        <v>73.08</v>
      </c>
      <c r="I18" s="8">
        <f t="shared" si="1"/>
        <v>1.1100000000000001</v>
      </c>
      <c r="J18" s="8">
        <f t="shared" si="2"/>
        <v>12.67</v>
      </c>
      <c r="K18" s="8">
        <f t="shared" si="3"/>
        <v>2.92</v>
      </c>
      <c r="L18" s="2" t="str">
        <f t="shared" si="4"/>
        <v>At Risk</v>
      </c>
    </row>
    <row r="19" spans="1:12" x14ac:dyDescent="0.3">
      <c r="A19" s="8" t="s">
        <v>35</v>
      </c>
      <c r="B19" s="8" t="s">
        <v>14</v>
      </c>
      <c r="C19" s="8">
        <v>3</v>
      </c>
      <c r="D19" s="8">
        <v>51</v>
      </c>
      <c r="E19" s="8">
        <v>46</v>
      </c>
      <c r="F19" s="8">
        <v>4.21</v>
      </c>
      <c r="G19" s="8">
        <v>46</v>
      </c>
      <c r="H19" s="8">
        <f t="shared" si="0"/>
        <v>90.2</v>
      </c>
      <c r="I19" s="8">
        <f t="shared" si="1"/>
        <v>1</v>
      </c>
      <c r="J19" s="8">
        <f t="shared" si="2"/>
        <v>15.33</v>
      </c>
      <c r="K19" s="8">
        <f t="shared" si="3"/>
        <v>3.8</v>
      </c>
      <c r="L19" s="2" t="str">
        <f t="shared" si="4"/>
        <v>Solid Performer</v>
      </c>
    </row>
    <row r="20" spans="1:12" x14ac:dyDescent="0.3">
      <c r="A20" s="8" t="s">
        <v>36</v>
      </c>
      <c r="B20" s="8" t="s">
        <v>18</v>
      </c>
      <c r="C20" s="8">
        <v>4</v>
      </c>
      <c r="D20" s="8">
        <v>34</v>
      </c>
      <c r="E20" s="8">
        <v>27</v>
      </c>
      <c r="F20" s="8">
        <v>4.66</v>
      </c>
      <c r="G20" s="8">
        <v>56</v>
      </c>
      <c r="H20" s="8">
        <f t="shared" si="0"/>
        <v>79.41</v>
      </c>
      <c r="I20" s="8">
        <f t="shared" si="1"/>
        <v>2.0699999999999998</v>
      </c>
      <c r="J20" s="8">
        <f t="shared" si="2"/>
        <v>6.75</v>
      </c>
      <c r="K20" s="8">
        <f t="shared" si="3"/>
        <v>3.7</v>
      </c>
      <c r="L20" s="2" t="str">
        <f t="shared" si="4"/>
        <v>Solid Performer</v>
      </c>
    </row>
    <row r="21" spans="1:12" x14ac:dyDescent="0.3">
      <c r="A21" s="8" t="s">
        <v>37</v>
      </c>
      <c r="B21" s="8" t="s">
        <v>18</v>
      </c>
      <c r="C21" s="8">
        <v>4</v>
      </c>
      <c r="D21" s="8">
        <v>44</v>
      </c>
      <c r="E21" s="8">
        <v>34</v>
      </c>
      <c r="F21" s="8">
        <v>3.54</v>
      </c>
      <c r="G21" s="8">
        <v>52</v>
      </c>
      <c r="H21" s="8">
        <f t="shared" si="0"/>
        <v>77.27</v>
      </c>
      <c r="I21" s="8">
        <f t="shared" si="1"/>
        <v>1.53</v>
      </c>
      <c r="J21" s="8">
        <f t="shared" si="2"/>
        <v>8.5</v>
      </c>
      <c r="K21" s="8">
        <f t="shared" si="3"/>
        <v>2.74</v>
      </c>
      <c r="L21" s="2" t="str">
        <f t="shared" si="4"/>
        <v>At Risk</v>
      </c>
    </row>
    <row r="22" spans="1:12" x14ac:dyDescent="0.3">
      <c r="A22" s="8" t="s">
        <v>38</v>
      </c>
      <c r="B22" s="8" t="s">
        <v>21</v>
      </c>
      <c r="C22" s="8">
        <v>3</v>
      </c>
      <c r="D22" s="8">
        <v>33</v>
      </c>
      <c r="E22" s="8">
        <v>30</v>
      </c>
      <c r="F22" s="8">
        <v>3.87</v>
      </c>
      <c r="G22" s="8">
        <v>43</v>
      </c>
      <c r="H22" s="8">
        <f t="shared" si="0"/>
        <v>90.91</v>
      </c>
      <c r="I22" s="8">
        <f t="shared" si="1"/>
        <v>1.43</v>
      </c>
      <c r="J22" s="8">
        <f t="shared" si="2"/>
        <v>10</v>
      </c>
      <c r="K22" s="8">
        <f t="shared" si="3"/>
        <v>3.52</v>
      </c>
      <c r="L22" s="2" t="str">
        <f t="shared" si="4"/>
        <v>Solid Performer</v>
      </c>
    </row>
    <row r="23" spans="1:12" x14ac:dyDescent="0.3">
      <c r="A23" s="8" t="s">
        <v>39</v>
      </c>
      <c r="B23" s="8" t="s">
        <v>24</v>
      </c>
      <c r="C23" s="8">
        <v>4</v>
      </c>
      <c r="D23" s="8">
        <v>36</v>
      </c>
      <c r="E23" s="8">
        <v>26</v>
      </c>
      <c r="F23" s="8">
        <v>3.74</v>
      </c>
      <c r="G23" s="8">
        <v>36</v>
      </c>
      <c r="H23" s="8">
        <f t="shared" si="0"/>
        <v>72.22</v>
      </c>
      <c r="I23" s="8">
        <f t="shared" si="1"/>
        <v>1.38</v>
      </c>
      <c r="J23" s="8">
        <f t="shared" si="2"/>
        <v>6.5</v>
      </c>
      <c r="K23" s="8">
        <f t="shared" si="3"/>
        <v>2.7</v>
      </c>
      <c r="L23" s="2" t="str">
        <f t="shared" si="4"/>
        <v>At Risk</v>
      </c>
    </row>
    <row r="24" spans="1:12" x14ac:dyDescent="0.3">
      <c r="A24" s="8" t="s">
        <v>40</v>
      </c>
      <c r="B24" s="8" t="s">
        <v>16</v>
      </c>
      <c r="C24" s="8">
        <v>2</v>
      </c>
      <c r="D24" s="8">
        <v>54</v>
      </c>
      <c r="E24" s="8">
        <v>36</v>
      </c>
      <c r="F24" s="8">
        <v>4.18</v>
      </c>
      <c r="G24" s="8">
        <v>48</v>
      </c>
      <c r="H24" s="8">
        <f t="shared" si="0"/>
        <v>66.67</v>
      </c>
      <c r="I24" s="8">
        <f t="shared" si="1"/>
        <v>1.33</v>
      </c>
      <c r="J24" s="8">
        <f t="shared" si="2"/>
        <v>18</v>
      </c>
      <c r="K24" s="8">
        <f t="shared" si="3"/>
        <v>2.79</v>
      </c>
      <c r="L24" s="2" t="str">
        <f t="shared" si="4"/>
        <v>At Risk</v>
      </c>
    </row>
    <row r="25" spans="1:12" x14ac:dyDescent="0.3">
      <c r="A25" s="8" t="s">
        <v>41</v>
      </c>
      <c r="B25" s="8" t="s">
        <v>18</v>
      </c>
      <c r="C25" s="8">
        <v>5</v>
      </c>
      <c r="D25" s="8">
        <v>52</v>
      </c>
      <c r="E25" s="8">
        <v>47</v>
      </c>
      <c r="F25" s="8">
        <v>3.98</v>
      </c>
      <c r="G25" s="8">
        <v>50</v>
      </c>
      <c r="H25" s="8">
        <f t="shared" si="0"/>
        <v>90.38</v>
      </c>
      <c r="I25" s="8">
        <f t="shared" si="1"/>
        <v>1.06</v>
      </c>
      <c r="J25" s="8">
        <f t="shared" si="2"/>
        <v>9.4</v>
      </c>
      <c r="K25" s="8">
        <f t="shared" si="3"/>
        <v>3.6</v>
      </c>
      <c r="L25" s="2" t="str">
        <f t="shared" si="4"/>
        <v>Solid Performer</v>
      </c>
    </row>
    <row r="26" spans="1:12" x14ac:dyDescent="0.3">
      <c r="A26" s="8" t="s">
        <v>42</v>
      </c>
      <c r="B26" s="8" t="s">
        <v>21</v>
      </c>
      <c r="C26" s="8">
        <v>2</v>
      </c>
      <c r="D26" s="8">
        <v>54</v>
      </c>
      <c r="E26" s="8">
        <v>48</v>
      </c>
      <c r="F26" s="8">
        <v>4.79</v>
      </c>
      <c r="G26" s="8">
        <v>46</v>
      </c>
      <c r="H26" s="8">
        <f t="shared" si="0"/>
        <v>88.89</v>
      </c>
      <c r="I26" s="8">
        <f t="shared" si="1"/>
        <v>0.96</v>
      </c>
      <c r="J26" s="8">
        <f t="shared" si="2"/>
        <v>24</v>
      </c>
      <c r="K26" s="8">
        <f t="shared" si="3"/>
        <v>4.26</v>
      </c>
      <c r="L26" s="2" t="str">
        <f t="shared" si="4"/>
        <v>Top Performer</v>
      </c>
    </row>
    <row r="27" spans="1:12" x14ac:dyDescent="0.3">
      <c r="A27" s="8" t="s">
        <v>43</v>
      </c>
      <c r="B27" s="8" t="s">
        <v>18</v>
      </c>
      <c r="C27" s="8">
        <v>4</v>
      </c>
      <c r="D27" s="8">
        <v>34</v>
      </c>
      <c r="E27" s="8">
        <v>29</v>
      </c>
      <c r="F27" s="8">
        <v>3.9</v>
      </c>
      <c r="G27" s="8">
        <v>57</v>
      </c>
      <c r="H27" s="8">
        <f t="shared" si="0"/>
        <v>85.29</v>
      </c>
      <c r="I27" s="8">
        <f t="shared" si="1"/>
        <v>1.97</v>
      </c>
      <c r="J27" s="8">
        <f t="shared" si="2"/>
        <v>7.25</v>
      </c>
      <c r="K27" s="8">
        <f t="shared" si="3"/>
        <v>3.33</v>
      </c>
      <c r="L27" s="2" t="str">
        <f t="shared" si="4"/>
        <v>Solid Performer</v>
      </c>
    </row>
    <row r="28" spans="1:12" x14ac:dyDescent="0.3">
      <c r="A28" s="8" t="s">
        <v>44</v>
      </c>
      <c r="B28" s="8" t="s">
        <v>18</v>
      </c>
      <c r="C28" s="8">
        <v>5</v>
      </c>
      <c r="D28" s="8">
        <v>53</v>
      </c>
      <c r="E28" s="8">
        <v>45</v>
      </c>
      <c r="F28" s="8">
        <v>4.05</v>
      </c>
      <c r="G28" s="8">
        <v>50</v>
      </c>
      <c r="H28" s="8">
        <f t="shared" si="0"/>
        <v>84.91</v>
      </c>
      <c r="I28" s="8">
        <f t="shared" si="1"/>
        <v>1.1100000000000001</v>
      </c>
      <c r="J28" s="8">
        <f t="shared" si="2"/>
        <v>9</v>
      </c>
      <c r="K28" s="8">
        <f t="shared" si="3"/>
        <v>3.44</v>
      </c>
      <c r="L28" s="2" t="str">
        <f t="shared" si="4"/>
        <v>Solid Performer</v>
      </c>
    </row>
    <row r="29" spans="1:12" x14ac:dyDescent="0.3">
      <c r="A29" s="8" t="s">
        <v>45</v>
      </c>
      <c r="B29" s="8" t="s">
        <v>16</v>
      </c>
      <c r="C29" s="8">
        <v>3</v>
      </c>
      <c r="D29" s="8">
        <v>41</v>
      </c>
      <c r="E29" s="8">
        <v>29</v>
      </c>
      <c r="F29" s="8">
        <v>4.25</v>
      </c>
      <c r="G29" s="8">
        <v>45</v>
      </c>
      <c r="H29" s="8">
        <f t="shared" si="0"/>
        <v>70.73</v>
      </c>
      <c r="I29" s="8">
        <f t="shared" si="1"/>
        <v>1.55</v>
      </c>
      <c r="J29" s="8">
        <f t="shared" si="2"/>
        <v>9.67</v>
      </c>
      <c r="K29" s="8">
        <f t="shared" si="3"/>
        <v>3.01</v>
      </c>
      <c r="L29" s="2" t="str">
        <f t="shared" si="4"/>
        <v>At Risk</v>
      </c>
    </row>
    <row r="30" spans="1:12" x14ac:dyDescent="0.3">
      <c r="A30" s="8" t="s">
        <v>46</v>
      </c>
      <c r="B30" s="8" t="s">
        <v>24</v>
      </c>
      <c r="C30" s="8">
        <v>3</v>
      </c>
      <c r="D30" s="8">
        <v>53</v>
      </c>
      <c r="E30" s="8">
        <v>35</v>
      </c>
      <c r="F30" s="8">
        <v>4.41</v>
      </c>
      <c r="G30" s="8">
        <v>36</v>
      </c>
      <c r="H30" s="8">
        <f t="shared" si="0"/>
        <v>66.040000000000006</v>
      </c>
      <c r="I30" s="8">
        <f t="shared" si="1"/>
        <v>1.03</v>
      </c>
      <c r="J30" s="8">
        <f t="shared" si="2"/>
        <v>11.67</v>
      </c>
      <c r="K30" s="8">
        <f t="shared" si="3"/>
        <v>2.91</v>
      </c>
      <c r="L30" s="2" t="str">
        <f t="shared" si="4"/>
        <v>At Risk</v>
      </c>
    </row>
    <row r="31" spans="1:12" x14ac:dyDescent="0.3">
      <c r="A31" s="8" t="s">
        <v>47</v>
      </c>
      <c r="B31" s="8" t="s">
        <v>14</v>
      </c>
      <c r="C31" s="8">
        <v>3</v>
      </c>
      <c r="D31" s="8">
        <v>52</v>
      </c>
      <c r="E31" s="8">
        <v>38</v>
      </c>
      <c r="F31" s="8">
        <v>4.8600000000000003</v>
      </c>
      <c r="G31" s="8">
        <v>44</v>
      </c>
      <c r="H31" s="8">
        <f t="shared" si="0"/>
        <v>73.08</v>
      </c>
      <c r="I31" s="8">
        <f t="shared" si="1"/>
        <v>1.1599999999999999</v>
      </c>
      <c r="J31" s="8">
        <f t="shared" si="2"/>
        <v>12.67</v>
      </c>
      <c r="K31" s="8">
        <f t="shared" si="3"/>
        <v>3.55</v>
      </c>
      <c r="L31" s="2" t="str">
        <f t="shared" si="4"/>
        <v>Solid Performer</v>
      </c>
    </row>
    <row r="32" spans="1:12" x14ac:dyDescent="0.3">
      <c r="A32" s="8" t="s">
        <v>48</v>
      </c>
      <c r="B32" s="8" t="s">
        <v>16</v>
      </c>
      <c r="C32" s="8">
        <v>2</v>
      </c>
      <c r="D32" s="8">
        <v>41</v>
      </c>
      <c r="E32" s="8">
        <v>32</v>
      </c>
      <c r="F32" s="8">
        <v>4.33</v>
      </c>
      <c r="G32" s="8">
        <v>51</v>
      </c>
      <c r="H32" s="8">
        <f t="shared" si="0"/>
        <v>78.05</v>
      </c>
      <c r="I32" s="8">
        <f t="shared" si="1"/>
        <v>1.59</v>
      </c>
      <c r="J32" s="8">
        <f t="shared" si="2"/>
        <v>16</v>
      </c>
      <c r="K32" s="8">
        <f t="shared" si="3"/>
        <v>3.38</v>
      </c>
      <c r="L32" s="2" t="str">
        <f t="shared" si="4"/>
        <v>Solid Performer</v>
      </c>
    </row>
    <row r="33" spans="1:12" x14ac:dyDescent="0.3">
      <c r="A33" s="8" t="s">
        <v>49</v>
      </c>
      <c r="B33" s="8" t="s">
        <v>14</v>
      </c>
      <c r="C33" s="8">
        <v>2</v>
      </c>
      <c r="D33" s="8">
        <v>40</v>
      </c>
      <c r="E33" s="8">
        <v>30</v>
      </c>
      <c r="F33" s="8">
        <v>3.86</v>
      </c>
      <c r="G33" s="8">
        <v>47</v>
      </c>
      <c r="H33" s="8">
        <f t="shared" si="0"/>
        <v>75</v>
      </c>
      <c r="I33" s="8">
        <f t="shared" si="1"/>
        <v>1.57</v>
      </c>
      <c r="J33" s="8">
        <f t="shared" si="2"/>
        <v>15</v>
      </c>
      <c r="K33" s="8">
        <f t="shared" si="3"/>
        <v>2.9</v>
      </c>
      <c r="L33" s="2" t="str">
        <f t="shared" si="4"/>
        <v>At Risk</v>
      </c>
    </row>
    <row r="34" spans="1:12" x14ac:dyDescent="0.3">
      <c r="A34" s="8" t="s">
        <v>50</v>
      </c>
      <c r="B34" s="8" t="s">
        <v>24</v>
      </c>
      <c r="C34" s="8">
        <v>4</v>
      </c>
      <c r="D34" s="8">
        <v>31</v>
      </c>
      <c r="E34" s="8">
        <v>26</v>
      </c>
      <c r="F34" s="8">
        <v>4.3</v>
      </c>
      <c r="G34" s="8">
        <v>35</v>
      </c>
      <c r="H34" s="8">
        <f t="shared" si="0"/>
        <v>83.87</v>
      </c>
      <c r="I34" s="8">
        <f t="shared" si="1"/>
        <v>1.35</v>
      </c>
      <c r="J34" s="8">
        <f t="shared" si="2"/>
        <v>6.5</v>
      </c>
      <c r="K34" s="8">
        <f t="shared" si="3"/>
        <v>3.61</v>
      </c>
      <c r="L34" s="2" t="str">
        <f t="shared" si="4"/>
        <v>Solid Performer</v>
      </c>
    </row>
    <row r="35" spans="1:12" x14ac:dyDescent="0.3">
      <c r="A35" s="8" t="s">
        <v>51</v>
      </c>
      <c r="B35" s="8" t="s">
        <v>21</v>
      </c>
      <c r="C35" s="8">
        <v>3</v>
      </c>
      <c r="D35" s="8">
        <v>35</v>
      </c>
      <c r="E35" s="8">
        <v>30</v>
      </c>
      <c r="F35" s="8">
        <v>4.79</v>
      </c>
      <c r="G35" s="8">
        <v>43</v>
      </c>
      <c r="H35" s="8">
        <f t="shared" si="0"/>
        <v>85.71</v>
      </c>
      <c r="I35" s="8">
        <f t="shared" si="1"/>
        <v>1.43</v>
      </c>
      <c r="J35" s="8">
        <f t="shared" si="2"/>
        <v>10</v>
      </c>
      <c r="K35" s="8">
        <f t="shared" si="3"/>
        <v>4.1100000000000003</v>
      </c>
      <c r="L35" s="2" t="str">
        <f t="shared" si="4"/>
        <v>Top Performer</v>
      </c>
    </row>
    <row r="36" spans="1:12" x14ac:dyDescent="0.3">
      <c r="A36" s="8" t="s">
        <v>52</v>
      </c>
      <c r="B36" s="8" t="s">
        <v>18</v>
      </c>
      <c r="C36" s="8">
        <v>5</v>
      </c>
      <c r="D36" s="8">
        <v>32</v>
      </c>
      <c r="E36" s="8">
        <v>28</v>
      </c>
      <c r="F36" s="8">
        <v>4.0199999999999996</v>
      </c>
      <c r="G36" s="8">
        <v>56</v>
      </c>
      <c r="H36" s="8">
        <f t="shared" si="0"/>
        <v>87.5</v>
      </c>
      <c r="I36" s="8">
        <f t="shared" si="1"/>
        <v>2</v>
      </c>
      <c r="J36" s="8">
        <f t="shared" si="2"/>
        <v>5.6</v>
      </c>
      <c r="K36" s="8">
        <f t="shared" si="3"/>
        <v>3.52</v>
      </c>
      <c r="L36" s="2" t="str">
        <f t="shared" si="4"/>
        <v>Solid Performer</v>
      </c>
    </row>
    <row r="37" spans="1:12" x14ac:dyDescent="0.3">
      <c r="A37" s="8" t="s">
        <v>53</v>
      </c>
      <c r="B37" s="8" t="s">
        <v>14</v>
      </c>
      <c r="C37" s="8">
        <v>2</v>
      </c>
      <c r="D37" s="8">
        <v>30</v>
      </c>
      <c r="E37" s="8">
        <v>23</v>
      </c>
      <c r="F37" s="8">
        <v>4.28</v>
      </c>
      <c r="G37" s="8">
        <v>49</v>
      </c>
      <c r="H37" s="8">
        <f t="shared" si="0"/>
        <v>76.67</v>
      </c>
      <c r="I37" s="8">
        <f t="shared" si="1"/>
        <v>2.13</v>
      </c>
      <c r="J37" s="8">
        <f t="shared" si="2"/>
        <v>11.5</v>
      </c>
      <c r="K37" s="8">
        <f t="shared" si="3"/>
        <v>3.28</v>
      </c>
      <c r="L37" s="2" t="str">
        <f t="shared" si="4"/>
        <v>Solid Performer</v>
      </c>
    </row>
    <row r="38" spans="1:12" x14ac:dyDescent="0.3">
      <c r="A38" s="8" t="s">
        <v>54</v>
      </c>
      <c r="B38" s="8" t="s">
        <v>21</v>
      </c>
      <c r="C38" s="8">
        <v>2</v>
      </c>
      <c r="D38" s="8">
        <v>54</v>
      </c>
      <c r="E38" s="8">
        <v>36</v>
      </c>
      <c r="F38" s="8">
        <v>4.8899999999999997</v>
      </c>
      <c r="G38" s="8">
        <v>49</v>
      </c>
      <c r="H38" s="8">
        <f t="shared" si="0"/>
        <v>66.67</v>
      </c>
      <c r="I38" s="8">
        <f t="shared" si="1"/>
        <v>1.36</v>
      </c>
      <c r="J38" s="8">
        <f t="shared" si="2"/>
        <v>18</v>
      </c>
      <c r="K38" s="8">
        <f t="shared" si="3"/>
        <v>3.26</v>
      </c>
      <c r="L38" s="2" t="str">
        <f t="shared" si="4"/>
        <v>Solid Performer</v>
      </c>
    </row>
    <row r="39" spans="1:12" x14ac:dyDescent="0.3">
      <c r="A39" s="8" t="s">
        <v>55</v>
      </c>
      <c r="B39" s="8" t="s">
        <v>18</v>
      </c>
      <c r="C39" s="8">
        <v>6</v>
      </c>
      <c r="D39" s="8">
        <v>45</v>
      </c>
      <c r="E39" s="8">
        <v>40</v>
      </c>
      <c r="F39" s="8">
        <v>4.33</v>
      </c>
      <c r="G39" s="8">
        <v>50</v>
      </c>
      <c r="H39" s="8">
        <f t="shared" si="0"/>
        <v>88.89</v>
      </c>
      <c r="I39" s="8">
        <f t="shared" si="1"/>
        <v>1.25</v>
      </c>
      <c r="J39" s="8">
        <f t="shared" si="2"/>
        <v>6.67</v>
      </c>
      <c r="K39" s="8">
        <f t="shared" si="3"/>
        <v>3.85</v>
      </c>
      <c r="L39" s="2" t="str">
        <f t="shared" si="4"/>
        <v>Solid Performer</v>
      </c>
    </row>
    <row r="40" spans="1:12" x14ac:dyDescent="0.3">
      <c r="A40" s="8" t="s">
        <v>56</v>
      </c>
      <c r="B40" s="8" t="s">
        <v>16</v>
      </c>
      <c r="C40" s="8">
        <v>2</v>
      </c>
      <c r="D40" s="8">
        <v>45</v>
      </c>
      <c r="E40" s="8">
        <v>42</v>
      </c>
      <c r="F40" s="8">
        <v>4.34</v>
      </c>
      <c r="G40" s="8">
        <v>51</v>
      </c>
      <c r="H40" s="8">
        <f t="shared" si="0"/>
        <v>93.33</v>
      </c>
      <c r="I40" s="8">
        <f t="shared" si="1"/>
        <v>1.21</v>
      </c>
      <c r="J40" s="8">
        <f t="shared" si="2"/>
        <v>21</v>
      </c>
      <c r="K40" s="8">
        <f t="shared" si="3"/>
        <v>4.05</v>
      </c>
      <c r="L40" s="2" t="str">
        <f t="shared" si="4"/>
        <v>Top Performer</v>
      </c>
    </row>
    <row r="41" spans="1:12" x14ac:dyDescent="0.3">
      <c r="A41" s="8" t="s">
        <v>57</v>
      </c>
      <c r="B41" s="8" t="s">
        <v>21</v>
      </c>
      <c r="C41" s="8">
        <v>2</v>
      </c>
      <c r="D41" s="8">
        <v>32</v>
      </c>
      <c r="E41" s="8">
        <v>27</v>
      </c>
      <c r="F41" s="8">
        <v>4.7699999999999996</v>
      </c>
      <c r="G41" s="8">
        <v>43</v>
      </c>
      <c r="H41" s="8">
        <f t="shared" si="0"/>
        <v>84.38</v>
      </c>
      <c r="I41" s="8">
        <f t="shared" si="1"/>
        <v>1.59</v>
      </c>
      <c r="J41" s="8">
        <f t="shared" si="2"/>
        <v>13.5</v>
      </c>
      <c r="K41" s="8">
        <f t="shared" si="3"/>
        <v>4.0199999999999996</v>
      </c>
      <c r="L41" s="2" t="str">
        <f t="shared" si="4"/>
        <v>Top Performer</v>
      </c>
    </row>
    <row r="42" spans="1:12" x14ac:dyDescent="0.3">
      <c r="A42" s="8" t="s">
        <v>58</v>
      </c>
      <c r="B42" s="8" t="s">
        <v>21</v>
      </c>
      <c r="C42" s="8">
        <v>3</v>
      </c>
      <c r="D42" s="8">
        <v>49</v>
      </c>
      <c r="E42" s="8">
        <v>33</v>
      </c>
      <c r="F42" s="8">
        <v>3.74</v>
      </c>
      <c r="G42" s="8">
        <v>45</v>
      </c>
      <c r="H42" s="8">
        <f t="shared" si="0"/>
        <v>67.349999999999994</v>
      </c>
      <c r="I42" s="8">
        <f t="shared" si="1"/>
        <v>1.36</v>
      </c>
      <c r="J42" s="8">
        <f t="shared" si="2"/>
        <v>11</v>
      </c>
      <c r="K42" s="8">
        <f t="shared" si="3"/>
        <v>2.52</v>
      </c>
      <c r="L42" s="2" t="str">
        <f t="shared" si="4"/>
        <v>At Risk</v>
      </c>
    </row>
    <row r="43" spans="1:12" x14ac:dyDescent="0.3">
      <c r="A43" s="8" t="s">
        <v>59</v>
      </c>
      <c r="B43" s="8" t="s">
        <v>14</v>
      </c>
      <c r="C43" s="8">
        <v>3</v>
      </c>
      <c r="D43" s="8">
        <v>32</v>
      </c>
      <c r="E43" s="8">
        <v>24</v>
      </c>
      <c r="F43" s="8">
        <v>4.91</v>
      </c>
      <c r="G43" s="8">
        <v>50</v>
      </c>
      <c r="H43" s="8">
        <f t="shared" si="0"/>
        <v>75</v>
      </c>
      <c r="I43" s="8">
        <f t="shared" si="1"/>
        <v>2.08</v>
      </c>
      <c r="J43" s="8">
        <f t="shared" si="2"/>
        <v>8</v>
      </c>
      <c r="K43" s="8">
        <f t="shared" si="3"/>
        <v>3.68</v>
      </c>
      <c r="L43" s="2" t="str">
        <f t="shared" si="4"/>
        <v>Solid Performer</v>
      </c>
    </row>
    <row r="44" spans="1:12" x14ac:dyDescent="0.3">
      <c r="A44" s="8" t="s">
        <v>60</v>
      </c>
      <c r="B44" s="8" t="s">
        <v>24</v>
      </c>
      <c r="C44" s="8">
        <v>4</v>
      </c>
      <c r="D44" s="8">
        <v>43</v>
      </c>
      <c r="E44" s="8">
        <v>35</v>
      </c>
      <c r="F44" s="8">
        <v>4.54</v>
      </c>
      <c r="G44" s="8">
        <v>43</v>
      </c>
      <c r="H44" s="8">
        <f t="shared" si="0"/>
        <v>81.400000000000006</v>
      </c>
      <c r="I44" s="8">
        <f t="shared" si="1"/>
        <v>1.23</v>
      </c>
      <c r="J44" s="8">
        <f t="shared" si="2"/>
        <v>8.75</v>
      </c>
      <c r="K44" s="8">
        <f t="shared" si="3"/>
        <v>3.7</v>
      </c>
      <c r="L44" s="2" t="str">
        <f t="shared" si="4"/>
        <v>Solid Performer</v>
      </c>
    </row>
    <row r="45" spans="1:12" x14ac:dyDescent="0.3">
      <c r="A45" s="8" t="s">
        <v>61</v>
      </c>
      <c r="B45" s="8" t="s">
        <v>14</v>
      </c>
      <c r="C45" s="8">
        <v>2</v>
      </c>
      <c r="D45" s="8">
        <v>33</v>
      </c>
      <c r="E45" s="8">
        <v>23</v>
      </c>
      <c r="F45" s="8">
        <v>3.99</v>
      </c>
      <c r="G45" s="8">
        <v>45</v>
      </c>
      <c r="H45" s="8">
        <f t="shared" si="0"/>
        <v>69.7</v>
      </c>
      <c r="I45" s="8">
        <f t="shared" si="1"/>
        <v>1.96</v>
      </c>
      <c r="J45" s="8">
        <f t="shared" si="2"/>
        <v>11.5</v>
      </c>
      <c r="K45" s="8">
        <f t="shared" si="3"/>
        <v>2.78</v>
      </c>
      <c r="L45" s="2" t="str">
        <f t="shared" si="4"/>
        <v>At Risk</v>
      </c>
    </row>
    <row r="46" spans="1:12" x14ac:dyDescent="0.3">
      <c r="A46" s="8" t="s">
        <v>62</v>
      </c>
      <c r="B46" s="8" t="s">
        <v>18</v>
      </c>
      <c r="C46" s="8">
        <v>4</v>
      </c>
      <c r="D46" s="8">
        <v>30</v>
      </c>
      <c r="E46" s="8">
        <v>24</v>
      </c>
      <c r="F46" s="8">
        <v>4.26</v>
      </c>
      <c r="G46" s="8">
        <v>55</v>
      </c>
      <c r="H46" s="8">
        <f t="shared" si="0"/>
        <v>80</v>
      </c>
      <c r="I46" s="8">
        <f t="shared" si="1"/>
        <v>2.29</v>
      </c>
      <c r="J46" s="8">
        <f t="shared" si="2"/>
        <v>6</v>
      </c>
      <c r="K46" s="8">
        <f t="shared" si="3"/>
        <v>3.41</v>
      </c>
      <c r="L46" s="2" t="str">
        <f t="shared" si="4"/>
        <v>Solid Performer</v>
      </c>
    </row>
    <row r="47" spans="1:12" x14ac:dyDescent="0.3">
      <c r="A47" s="8" t="s">
        <v>63</v>
      </c>
      <c r="B47" s="8" t="s">
        <v>24</v>
      </c>
      <c r="C47" s="8">
        <v>3</v>
      </c>
      <c r="D47" s="8">
        <v>51</v>
      </c>
      <c r="E47" s="8">
        <v>47</v>
      </c>
      <c r="F47" s="8">
        <v>4.1500000000000004</v>
      </c>
      <c r="G47" s="8">
        <v>39</v>
      </c>
      <c r="H47" s="8">
        <f t="shared" si="0"/>
        <v>92.16</v>
      </c>
      <c r="I47" s="8">
        <f t="shared" si="1"/>
        <v>0.83</v>
      </c>
      <c r="J47" s="8">
        <f t="shared" si="2"/>
        <v>15.67</v>
      </c>
      <c r="K47" s="8">
        <f t="shared" si="3"/>
        <v>3.82</v>
      </c>
      <c r="L47" s="2" t="str">
        <f t="shared" si="4"/>
        <v>Solid Performer</v>
      </c>
    </row>
    <row r="48" spans="1:12" x14ac:dyDescent="0.3">
      <c r="A48" s="8" t="s">
        <v>64</v>
      </c>
      <c r="B48" s="8" t="s">
        <v>21</v>
      </c>
      <c r="C48" s="8">
        <v>3</v>
      </c>
      <c r="D48" s="8">
        <v>44</v>
      </c>
      <c r="E48" s="8">
        <v>35</v>
      </c>
      <c r="F48" s="8">
        <v>3.79</v>
      </c>
      <c r="G48" s="8">
        <v>42</v>
      </c>
      <c r="H48" s="8">
        <f t="shared" si="0"/>
        <v>79.55</v>
      </c>
      <c r="I48" s="8">
        <f t="shared" si="1"/>
        <v>1.2</v>
      </c>
      <c r="J48" s="8">
        <f t="shared" si="2"/>
        <v>11.67</v>
      </c>
      <c r="K48" s="8">
        <f t="shared" si="3"/>
        <v>3.01</v>
      </c>
      <c r="L48" s="2" t="str">
        <f t="shared" si="4"/>
        <v>At Risk</v>
      </c>
    </row>
    <row r="49" spans="1:12" x14ac:dyDescent="0.3">
      <c r="A49" s="8" t="s">
        <v>65</v>
      </c>
      <c r="B49" s="8" t="s">
        <v>14</v>
      </c>
      <c r="C49" s="8">
        <v>2</v>
      </c>
      <c r="D49" s="8">
        <v>46</v>
      </c>
      <c r="E49" s="8">
        <v>30</v>
      </c>
      <c r="F49" s="8">
        <v>4.99</v>
      </c>
      <c r="G49" s="8">
        <v>46</v>
      </c>
      <c r="H49" s="8">
        <f t="shared" si="0"/>
        <v>65.22</v>
      </c>
      <c r="I49" s="8">
        <f t="shared" si="1"/>
        <v>1.53</v>
      </c>
      <c r="J49" s="8">
        <f t="shared" si="2"/>
        <v>15</v>
      </c>
      <c r="K49" s="8">
        <f t="shared" si="3"/>
        <v>3.25</v>
      </c>
      <c r="L49" s="2" t="str">
        <f t="shared" si="4"/>
        <v>Solid Performer</v>
      </c>
    </row>
    <row r="50" spans="1:12" x14ac:dyDescent="0.3">
      <c r="A50" s="8" t="s">
        <v>66</v>
      </c>
      <c r="B50" s="8" t="s">
        <v>18</v>
      </c>
      <c r="C50" s="8">
        <v>4</v>
      </c>
      <c r="D50" s="8">
        <v>34</v>
      </c>
      <c r="E50" s="8">
        <v>31</v>
      </c>
      <c r="F50" s="8">
        <v>4.1399999999999997</v>
      </c>
      <c r="G50" s="8">
        <v>54</v>
      </c>
      <c r="H50" s="8">
        <f t="shared" si="0"/>
        <v>91.18</v>
      </c>
      <c r="I50" s="8">
        <f t="shared" si="1"/>
        <v>1.74</v>
      </c>
      <c r="J50" s="8">
        <f t="shared" si="2"/>
        <v>7.75</v>
      </c>
      <c r="K50" s="8">
        <f t="shared" si="3"/>
        <v>3.77</v>
      </c>
      <c r="L50" s="2" t="str">
        <f t="shared" si="4"/>
        <v>Solid Performer</v>
      </c>
    </row>
    <row r="51" spans="1:12" x14ac:dyDescent="0.3">
      <c r="A51" s="8" t="s">
        <v>67</v>
      </c>
      <c r="B51" s="8" t="s">
        <v>18</v>
      </c>
      <c r="C51" s="8">
        <v>4</v>
      </c>
      <c r="D51" s="8">
        <v>49</v>
      </c>
      <c r="E51" s="8">
        <v>36</v>
      </c>
      <c r="F51" s="8">
        <v>4.08</v>
      </c>
      <c r="G51" s="8">
        <v>56</v>
      </c>
      <c r="H51" s="8">
        <f t="shared" si="0"/>
        <v>73.47</v>
      </c>
      <c r="I51" s="8">
        <f t="shared" si="1"/>
        <v>1.56</v>
      </c>
      <c r="J51" s="8">
        <f t="shared" si="2"/>
        <v>9</v>
      </c>
      <c r="K51" s="8">
        <f t="shared" si="3"/>
        <v>3</v>
      </c>
      <c r="L51" s="2" t="str">
        <f t="shared" si="4"/>
        <v>At Risk</v>
      </c>
    </row>
    <row r="52" spans="1:12" x14ac:dyDescent="0.3">
      <c r="A52" s="8" t="s">
        <v>68</v>
      </c>
      <c r="B52" s="8" t="s">
        <v>21</v>
      </c>
      <c r="C52" s="8">
        <v>3</v>
      </c>
      <c r="D52" s="8">
        <v>32</v>
      </c>
      <c r="E52" s="8">
        <v>22</v>
      </c>
      <c r="F52" s="8">
        <v>4.34</v>
      </c>
      <c r="G52" s="8">
        <v>45</v>
      </c>
      <c r="H52" s="8">
        <f t="shared" si="0"/>
        <v>68.75</v>
      </c>
      <c r="I52" s="8">
        <f t="shared" si="1"/>
        <v>2.0499999999999998</v>
      </c>
      <c r="J52" s="8">
        <f t="shared" si="2"/>
        <v>7.33</v>
      </c>
      <c r="K52" s="8">
        <f t="shared" si="3"/>
        <v>2.98</v>
      </c>
      <c r="L52" s="2" t="str">
        <f t="shared" si="4"/>
        <v>At Risk</v>
      </c>
    </row>
    <row r="53" spans="1:12" x14ac:dyDescent="0.3">
      <c r="A53" s="8" t="s">
        <v>69</v>
      </c>
      <c r="B53" s="8" t="s">
        <v>16</v>
      </c>
      <c r="C53" s="8">
        <v>2</v>
      </c>
      <c r="D53" s="8">
        <v>37</v>
      </c>
      <c r="E53" s="8">
        <v>24</v>
      </c>
      <c r="F53" s="8">
        <v>3.81</v>
      </c>
      <c r="G53" s="8">
        <v>50</v>
      </c>
      <c r="H53" s="8">
        <f t="shared" si="0"/>
        <v>64.86</v>
      </c>
      <c r="I53" s="8">
        <f t="shared" si="1"/>
        <v>2.08</v>
      </c>
      <c r="J53" s="8">
        <f t="shared" si="2"/>
        <v>12</v>
      </c>
      <c r="K53" s="8">
        <f t="shared" si="3"/>
        <v>2.4700000000000002</v>
      </c>
      <c r="L53" s="2" t="str">
        <f t="shared" si="4"/>
        <v>At Risk</v>
      </c>
    </row>
    <row r="54" spans="1:12" x14ac:dyDescent="0.3">
      <c r="A54" s="8" t="s">
        <v>70</v>
      </c>
      <c r="B54" s="8" t="s">
        <v>16</v>
      </c>
      <c r="C54" s="8">
        <v>2</v>
      </c>
      <c r="D54" s="8">
        <v>39</v>
      </c>
      <c r="E54" s="8">
        <v>35</v>
      </c>
      <c r="F54" s="8">
        <v>4.6100000000000003</v>
      </c>
      <c r="G54" s="8">
        <v>45</v>
      </c>
      <c r="H54" s="8">
        <f t="shared" si="0"/>
        <v>89.74</v>
      </c>
      <c r="I54" s="8">
        <f t="shared" si="1"/>
        <v>1.29</v>
      </c>
      <c r="J54" s="8">
        <f t="shared" si="2"/>
        <v>17.5</v>
      </c>
      <c r="K54" s="8">
        <f t="shared" si="3"/>
        <v>4.1399999999999997</v>
      </c>
      <c r="L54" s="2" t="str">
        <f t="shared" si="4"/>
        <v>Top Performer</v>
      </c>
    </row>
    <row r="55" spans="1:12" x14ac:dyDescent="0.3">
      <c r="A55" s="8" t="s">
        <v>71</v>
      </c>
      <c r="B55" s="8" t="s">
        <v>21</v>
      </c>
      <c r="C55" s="8">
        <v>2</v>
      </c>
      <c r="D55" s="8">
        <v>51</v>
      </c>
      <c r="E55" s="8">
        <v>38</v>
      </c>
      <c r="F55" s="8">
        <v>3.94</v>
      </c>
      <c r="G55" s="8">
        <v>46</v>
      </c>
      <c r="H55" s="8">
        <f t="shared" si="0"/>
        <v>74.510000000000005</v>
      </c>
      <c r="I55" s="8">
        <f t="shared" si="1"/>
        <v>1.21</v>
      </c>
      <c r="J55" s="8">
        <f t="shared" si="2"/>
        <v>19</v>
      </c>
      <c r="K55" s="8">
        <f t="shared" si="3"/>
        <v>2.94</v>
      </c>
      <c r="L55" s="2" t="str">
        <f t="shared" si="4"/>
        <v>At Risk</v>
      </c>
    </row>
    <row r="56" spans="1:12" x14ac:dyDescent="0.3">
      <c r="A56" s="8" t="s">
        <v>72</v>
      </c>
      <c r="B56" s="8" t="s">
        <v>16</v>
      </c>
      <c r="C56" s="8">
        <v>2</v>
      </c>
      <c r="D56" s="8">
        <v>47</v>
      </c>
      <c r="E56" s="8">
        <v>42</v>
      </c>
      <c r="F56" s="8">
        <v>4.87</v>
      </c>
      <c r="G56" s="8">
        <v>54</v>
      </c>
      <c r="H56" s="8">
        <f t="shared" si="0"/>
        <v>89.36</v>
      </c>
      <c r="I56" s="8">
        <f t="shared" si="1"/>
        <v>1.29</v>
      </c>
      <c r="J56" s="8">
        <f t="shared" si="2"/>
        <v>21</v>
      </c>
      <c r="K56" s="8">
        <f t="shared" si="3"/>
        <v>4.3499999999999996</v>
      </c>
      <c r="L56" s="2" t="str">
        <f t="shared" si="4"/>
        <v>Top Performer</v>
      </c>
    </row>
    <row r="57" spans="1:12" x14ac:dyDescent="0.3">
      <c r="A57" s="8" t="s">
        <v>73</v>
      </c>
      <c r="B57" s="8" t="s">
        <v>21</v>
      </c>
      <c r="C57" s="8">
        <v>3</v>
      </c>
      <c r="D57" s="8">
        <v>42</v>
      </c>
      <c r="E57" s="8">
        <v>29</v>
      </c>
      <c r="F57" s="8">
        <v>3.61</v>
      </c>
      <c r="G57" s="8">
        <v>42</v>
      </c>
      <c r="H57" s="8">
        <f t="shared" si="0"/>
        <v>69.05</v>
      </c>
      <c r="I57" s="8">
        <f t="shared" si="1"/>
        <v>1.45</v>
      </c>
      <c r="J57" s="8">
        <f t="shared" si="2"/>
        <v>9.67</v>
      </c>
      <c r="K57" s="8">
        <f t="shared" si="3"/>
        <v>2.4900000000000002</v>
      </c>
      <c r="L57" s="2" t="str">
        <f t="shared" si="4"/>
        <v>At Risk</v>
      </c>
    </row>
    <row r="58" spans="1:12" x14ac:dyDescent="0.3">
      <c r="A58" s="8" t="s">
        <v>74</v>
      </c>
      <c r="B58" s="8" t="s">
        <v>14</v>
      </c>
      <c r="C58" s="8">
        <v>3</v>
      </c>
      <c r="D58" s="8">
        <v>31</v>
      </c>
      <c r="E58" s="8">
        <v>24</v>
      </c>
      <c r="F58" s="8">
        <v>4.51</v>
      </c>
      <c r="G58" s="8">
        <v>44</v>
      </c>
      <c r="H58" s="8">
        <f t="shared" si="0"/>
        <v>77.42</v>
      </c>
      <c r="I58" s="8">
        <f t="shared" si="1"/>
        <v>1.83</v>
      </c>
      <c r="J58" s="8">
        <f t="shared" si="2"/>
        <v>8</v>
      </c>
      <c r="K58" s="8">
        <f t="shared" si="3"/>
        <v>3.49</v>
      </c>
      <c r="L58" s="2" t="str">
        <f t="shared" si="4"/>
        <v>Solid Performer</v>
      </c>
    </row>
    <row r="59" spans="1:12" x14ac:dyDescent="0.3">
      <c r="A59" s="8" t="s">
        <v>75</v>
      </c>
      <c r="B59" s="8" t="s">
        <v>21</v>
      </c>
      <c r="C59" s="8">
        <v>3</v>
      </c>
      <c r="D59" s="8">
        <v>51</v>
      </c>
      <c r="E59" s="8">
        <v>42</v>
      </c>
      <c r="F59" s="8">
        <v>3.55</v>
      </c>
      <c r="G59" s="8">
        <v>43</v>
      </c>
      <c r="H59" s="8">
        <f t="shared" si="0"/>
        <v>82.35</v>
      </c>
      <c r="I59" s="8">
        <f t="shared" si="1"/>
        <v>1.02</v>
      </c>
      <c r="J59" s="8">
        <f t="shared" si="2"/>
        <v>14</v>
      </c>
      <c r="K59" s="8">
        <f t="shared" si="3"/>
        <v>2.92</v>
      </c>
      <c r="L59" s="2" t="str">
        <f t="shared" si="4"/>
        <v>At Risk</v>
      </c>
    </row>
    <row r="60" spans="1:12" x14ac:dyDescent="0.3">
      <c r="A60" s="8" t="s">
        <v>76</v>
      </c>
      <c r="B60" s="8" t="s">
        <v>16</v>
      </c>
      <c r="C60" s="8">
        <v>3</v>
      </c>
      <c r="D60" s="8">
        <v>44</v>
      </c>
      <c r="E60" s="8">
        <v>33</v>
      </c>
      <c r="F60" s="8">
        <v>3.69</v>
      </c>
      <c r="G60" s="8">
        <v>45</v>
      </c>
      <c r="H60" s="8">
        <f t="shared" si="0"/>
        <v>75</v>
      </c>
      <c r="I60" s="8">
        <f t="shared" si="1"/>
        <v>1.36</v>
      </c>
      <c r="J60" s="8">
        <f t="shared" si="2"/>
        <v>11</v>
      </c>
      <c r="K60" s="8">
        <f t="shared" si="3"/>
        <v>2.77</v>
      </c>
      <c r="L60" s="2" t="str">
        <f t="shared" si="4"/>
        <v>At Risk</v>
      </c>
    </row>
    <row r="61" spans="1:12" x14ac:dyDescent="0.3">
      <c r="A61" s="8" t="s">
        <v>77</v>
      </c>
      <c r="B61" s="8" t="s">
        <v>24</v>
      </c>
      <c r="C61" s="8">
        <v>4</v>
      </c>
      <c r="D61" s="8">
        <v>41</v>
      </c>
      <c r="E61" s="8">
        <v>38</v>
      </c>
      <c r="F61" s="8">
        <v>4.1900000000000004</v>
      </c>
      <c r="G61" s="8">
        <v>40</v>
      </c>
      <c r="H61" s="8">
        <f t="shared" si="0"/>
        <v>92.68</v>
      </c>
      <c r="I61" s="8">
        <f t="shared" si="1"/>
        <v>1.05</v>
      </c>
      <c r="J61" s="8">
        <f t="shared" si="2"/>
        <v>9.5</v>
      </c>
      <c r="K61" s="8">
        <f t="shared" si="3"/>
        <v>3.88</v>
      </c>
      <c r="L61" s="2" t="str">
        <f t="shared" si="4"/>
        <v>Solid Performer</v>
      </c>
    </row>
    <row r="62" spans="1:12" x14ac:dyDescent="0.3">
      <c r="A62" s="8" t="s">
        <v>78</v>
      </c>
      <c r="B62" s="8" t="s">
        <v>24</v>
      </c>
      <c r="C62" s="8">
        <v>4</v>
      </c>
      <c r="D62" s="8">
        <v>49</v>
      </c>
      <c r="E62" s="8">
        <v>37</v>
      </c>
      <c r="F62" s="8">
        <v>4.55</v>
      </c>
      <c r="G62" s="8">
        <v>42</v>
      </c>
      <c r="H62" s="8">
        <f t="shared" si="0"/>
        <v>75.510000000000005</v>
      </c>
      <c r="I62" s="8">
        <f t="shared" si="1"/>
        <v>1.1399999999999999</v>
      </c>
      <c r="J62" s="8">
        <f t="shared" si="2"/>
        <v>9.25</v>
      </c>
      <c r="K62" s="8">
        <f t="shared" si="3"/>
        <v>3.44</v>
      </c>
      <c r="L62" s="2" t="str">
        <f t="shared" si="4"/>
        <v>Solid Performer</v>
      </c>
    </row>
    <row r="63" spans="1:12" x14ac:dyDescent="0.3">
      <c r="A63" s="8" t="s">
        <v>79</v>
      </c>
      <c r="B63" s="8" t="s">
        <v>14</v>
      </c>
      <c r="C63" s="8">
        <v>3</v>
      </c>
      <c r="D63" s="8">
        <v>42</v>
      </c>
      <c r="E63" s="8">
        <v>39</v>
      </c>
      <c r="F63" s="8">
        <v>4.57</v>
      </c>
      <c r="G63" s="8">
        <v>44</v>
      </c>
      <c r="H63" s="8">
        <f t="shared" si="0"/>
        <v>92.86</v>
      </c>
      <c r="I63" s="8">
        <f t="shared" si="1"/>
        <v>1.1299999999999999</v>
      </c>
      <c r="J63" s="8">
        <f t="shared" si="2"/>
        <v>13</v>
      </c>
      <c r="K63" s="8">
        <f t="shared" si="3"/>
        <v>4.24</v>
      </c>
      <c r="L63" s="2" t="str">
        <f t="shared" si="4"/>
        <v>Top Performer</v>
      </c>
    </row>
    <row r="64" spans="1:12" x14ac:dyDescent="0.3">
      <c r="A64" s="8" t="s">
        <v>80</v>
      </c>
      <c r="B64" s="8" t="s">
        <v>21</v>
      </c>
      <c r="C64" s="8">
        <v>3</v>
      </c>
      <c r="D64" s="8">
        <v>48</v>
      </c>
      <c r="E64" s="8">
        <v>37</v>
      </c>
      <c r="F64" s="8">
        <v>3.62</v>
      </c>
      <c r="G64" s="8">
        <v>44</v>
      </c>
      <c r="H64" s="8">
        <f t="shared" si="0"/>
        <v>77.08</v>
      </c>
      <c r="I64" s="8">
        <f t="shared" si="1"/>
        <v>1.19</v>
      </c>
      <c r="J64" s="8">
        <f t="shared" si="2"/>
        <v>12.33</v>
      </c>
      <c r="K64" s="8">
        <f t="shared" si="3"/>
        <v>2.79</v>
      </c>
      <c r="L64" s="2" t="str">
        <f t="shared" si="4"/>
        <v>At Risk</v>
      </c>
    </row>
    <row r="65" spans="1:12" x14ac:dyDescent="0.3">
      <c r="A65" s="8" t="s">
        <v>81</v>
      </c>
      <c r="B65" s="8" t="s">
        <v>16</v>
      </c>
      <c r="C65" s="8">
        <v>2</v>
      </c>
      <c r="D65" s="8">
        <v>52</v>
      </c>
      <c r="E65" s="8">
        <v>40</v>
      </c>
      <c r="F65" s="8">
        <v>4.53</v>
      </c>
      <c r="G65" s="8">
        <v>45</v>
      </c>
      <c r="H65" s="8">
        <f t="shared" si="0"/>
        <v>76.92</v>
      </c>
      <c r="I65" s="8">
        <f t="shared" si="1"/>
        <v>1.1299999999999999</v>
      </c>
      <c r="J65" s="8">
        <f t="shared" si="2"/>
        <v>20</v>
      </c>
      <c r="K65" s="8">
        <f t="shared" si="3"/>
        <v>3.48</v>
      </c>
      <c r="L65" s="2" t="str">
        <f t="shared" si="4"/>
        <v>Solid Performer</v>
      </c>
    </row>
    <row r="66" spans="1:12" x14ac:dyDescent="0.3">
      <c r="A66" s="8" t="s">
        <v>82</v>
      </c>
      <c r="B66" s="8" t="s">
        <v>16</v>
      </c>
      <c r="C66" s="8">
        <v>3</v>
      </c>
      <c r="D66" s="8">
        <v>30</v>
      </c>
      <c r="E66" s="8">
        <v>23</v>
      </c>
      <c r="F66" s="8">
        <v>3.86</v>
      </c>
      <c r="G66" s="8">
        <v>50</v>
      </c>
      <c r="H66" s="8">
        <f t="shared" si="0"/>
        <v>76.67</v>
      </c>
      <c r="I66" s="8">
        <f t="shared" si="1"/>
        <v>2.17</v>
      </c>
      <c r="J66" s="8">
        <f t="shared" si="2"/>
        <v>7.67</v>
      </c>
      <c r="K66" s="8">
        <f t="shared" si="3"/>
        <v>2.96</v>
      </c>
      <c r="L66" s="2" t="str">
        <f t="shared" si="4"/>
        <v>At Risk</v>
      </c>
    </row>
    <row r="67" spans="1:12" x14ac:dyDescent="0.3">
      <c r="A67" s="8" t="s">
        <v>83</v>
      </c>
      <c r="B67" s="8" t="s">
        <v>21</v>
      </c>
      <c r="C67" s="8">
        <v>3</v>
      </c>
      <c r="D67" s="8">
        <v>42</v>
      </c>
      <c r="E67" s="8">
        <v>30</v>
      </c>
      <c r="F67" s="8">
        <v>4.93</v>
      </c>
      <c r="G67" s="8">
        <v>46</v>
      </c>
      <c r="H67" s="8">
        <f t="shared" ref="H67:H130" si="5">ROUND(E67/D67*100,2)</f>
        <v>71.430000000000007</v>
      </c>
      <c r="I67" s="8">
        <f t="shared" ref="I67:I130" si="6">ROUND(G67/E67,2)</f>
        <v>1.53</v>
      </c>
      <c r="J67" s="8">
        <f t="shared" ref="J67:J130" si="7">ROUND(E67/C67,2)</f>
        <v>10</v>
      </c>
      <c r="K67" s="8">
        <f t="shared" ref="K67:K130" si="8">ROUND(F67*H67/100,2)</f>
        <v>3.52</v>
      </c>
      <c r="L67" s="2" t="str">
        <f t="shared" ref="L67:L130" si="9">IF(K67&gt;4,"Top Performer",IF(K67&gt;=3.2,"Solid Performer","At Risk"))</f>
        <v>Solid Performer</v>
      </c>
    </row>
    <row r="68" spans="1:12" x14ac:dyDescent="0.3">
      <c r="A68" s="8" t="s">
        <v>84</v>
      </c>
      <c r="B68" s="8" t="s">
        <v>24</v>
      </c>
      <c r="C68" s="8">
        <v>4</v>
      </c>
      <c r="D68" s="8">
        <v>52</v>
      </c>
      <c r="E68" s="8">
        <v>34</v>
      </c>
      <c r="F68" s="8">
        <v>4.3499999999999996</v>
      </c>
      <c r="G68" s="8">
        <v>37</v>
      </c>
      <c r="H68" s="8">
        <f t="shared" si="5"/>
        <v>65.38</v>
      </c>
      <c r="I68" s="8">
        <f t="shared" si="6"/>
        <v>1.0900000000000001</v>
      </c>
      <c r="J68" s="8">
        <f t="shared" si="7"/>
        <v>8.5</v>
      </c>
      <c r="K68" s="8">
        <f t="shared" si="8"/>
        <v>2.84</v>
      </c>
      <c r="L68" s="2" t="str">
        <f t="shared" si="9"/>
        <v>At Risk</v>
      </c>
    </row>
    <row r="69" spans="1:12" x14ac:dyDescent="0.3">
      <c r="A69" s="8" t="s">
        <v>85</v>
      </c>
      <c r="B69" s="8" t="s">
        <v>24</v>
      </c>
      <c r="C69" s="8">
        <v>4</v>
      </c>
      <c r="D69" s="8">
        <v>54</v>
      </c>
      <c r="E69" s="8">
        <v>40</v>
      </c>
      <c r="F69" s="8">
        <v>3.64</v>
      </c>
      <c r="G69" s="8">
        <v>35</v>
      </c>
      <c r="H69" s="8">
        <f t="shared" si="5"/>
        <v>74.069999999999993</v>
      </c>
      <c r="I69" s="8">
        <f t="shared" si="6"/>
        <v>0.88</v>
      </c>
      <c r="J69" s="8">
        <f t="shared" si="7"/>
        <v>10</v>
      </c>
      <c r="K69" s="8">
        <f t="shared" si="8"/>
        <v>2.7</v>
      </c>
      <c r="L69" s="2" t="str">
        <f t="shared" si="9"/>
        <v>At Risk</v>
      </c>
    </row>
    <row r="70" spans="1:12" x14ac:dyDescent="0.3">
      <c r="A70" s="8" t="s">
        <v>86</v>
      </c>
      <c r="B70" s="8" t="s">
        <v>14</v>
      </c>
      <c r="C70" s="8">
        <v>2</v>
      </c>
      <c r="D70" s="8">
        <v>41</v>
      </c>
      <c r="E70" s="8">
        <v>26</v>
      </c>
      <c r="F70" s="8">
        <v>4.6500000000000004</v>
      </c>
      <c r="G70" s="8">
        <v>46</v>
      </c>
      <c r="H70" s="8">
        <f t="shared" si="5"/>
        <v>63.41</v>
      </c>
      <c r="I70" s="8">
        <f t="shared" si="6"/>
        <v>1.77</v>
      </c>
      <c r="J70" s="8">
        <f t="shared" si="7"/>
        <v>13</v>
      </c>
      <c r="K70" s="8">
        <f t="shared" si="8"/>
        <v>2.95</v>
      </c>
      <c r="L70" s="2" t="str">
        <f t="shared" si="9"/>
        <v>At Risk</v>
      </c>
    </row>
    <row r="71" spans="1:12" x14ac:dyDescent="0.3">
      <c r="A71" s="8" t="s">
        <v>87</v>
      </c>
      <c r="B71" s="8" t="s">
        <v>14</v>
      </c>
      <c r="C71" s="8">
        <v>2</v>
      </c>
      <c r="D71" s="8">
        <v>34</v>
      </c>
      <c r="E71" s="8">
        <v>26</v>
      </c>
      <c r="F71" s="8">
        <v>4.42</v>
      </c>
      <c r="G71" s="8">
        <v>46</v>
      </c>
      <c r="H71" s="8">
        <f t="shared" si="5"/>
        <v>76.47</v>
      </c>
      <c r="I71" s="8">
        <f t="shared" si="6"/>
        <v>1.77</v>
      </c>
      <c r="J71" s="8">
        <f t="shared" si="7"/>
        <v>13</v>
      </c>
      <c r="K71" s="8">
        <f t="shared" si="8"/>
        <v>3.38</v>
      </c>
      <c r="L71" s="2" t="str">
        <f t="shared" si="9"/>
        <v>Solid Performer</v>
      </c>
    </row>
    <row r="72" spans="1:12" x14ac:dyDescent="0.3">
      <c r="A72" s="8" t="s">
        <v>88</v>
      </c>
      <c r="B72" s="8" t="s">
        <v>14</v>
      </c>
      <c r="C72" s="8">
        <v>3</v>
      </c>
      <c r="D72" s="8">
        <v>49</v>
      </c>
      <c r="E72" s="8">
        <v>37</v>
      </c>
      <c r="F72" s="8">
        <v>4.4400000000000004</v>
      </c>
      <c r="G72" s="8">
        <v>51</v>
      </c>
      <c r="H72" s="8">
        <f t="shared" si="5"/>
        <v>75.510000000000005</v>
      </c>
      <c r="I72" s="8">
        <f t="shared" si="6"/>
        <v>1.38</v>
      </c>
      <c r="J72" s="8">
        <f t="shared" si="7"/>
        <v>12.33</v>
      </c>
      <c r="K72" s="8">
        <f t="shared" si="8"/>
        <v>3.35</v>
      </c>
      <c r="L72" s="2" t="str">
        <f t="shared" si="9"/>
        <v>Solid Performer</v>
      </c>
    </row>
    <row r="73" spans="1:12" x14ac:dyDescent="0.3">
      <c r="A73" s="8" t="s">
        <v>89</v>
      </c>
      <c r="B73" s="8" t="s">
        <v>21</v>
      </c>
      <c r="C73" s="8">
        <v>3</v>
      </c>
      <c r="D73" s="8">
        <v>34</v>
      </c>
      <c r="E73" s="8">
        <v>29</v>
      </c>
      <c r="F73" s="8">
        <v>4.42</v>
      </c>
      <c r="G73" s="8">
        <v>46</v>
      </c>
      <c r="H73" s="8">
        <f t="shared" si="5"/>
        <v>85.29</v>
      </c>
      <c r="I73" s="8">
        <f t="shared" si="6"/>
        <v>1.59</v>
      </c>
      <c r="J73" s="8">
        <f t="shared" si="7"/>
        <v>9.67</v>
      </c>
      <c r="K73" s="8">
        <f t="shared" si="8"/>
        <v>3.77</v>
      </c>
      <c r="L73" s="2" t="str">
        <f t="shared" si="9"/>
        <v>Solid Performer</v>
      </c>
    </row>
    <row r="74" spans="1:12" x14ac:dyDescent="0.3">
      <c r="A74" s="8" t="s">
        <v>90</v>
      </c>
      <c r="B74" s="8" t="s">
        <v>16</v>
      </c>
      <c r="C74" s="8">
        <v>2</v>
      </c>
      <c r="D74" s="8">
        <v>49</v>
      </c>
      <c r="E74" s="8">
        <v>40</v>
      </c>
      <c r="F74" s="8">
        <v>4.08</v>
      </c>
      <c r="G74" s="8">
        <v>45</v>
      </c>
      <c r="H74" s="8">
        <f t="shared" si="5"/>
        <v>81.63</v>
      </c>
      <c r="I74" s="8">
        <f t="shared" si="6"/>
        <v>1.1299999999999999</v>
      </c>
      <c r="J74" s="8">
        <f t="shared" si="7"/>
        <v>20</v>
      </c>
      <c r="K74" s="8">
        <f t="shared" si="8"/>
        <v>3.33</v>
      </c>
      <c r="L74" s="2" t="str">
        <f t="shared" si="9"/>
        <v>Solid Performer</v>
      </c>
    </row>
    <row r="75" spans="1:12" x14ac:dyDescent="0.3">
      <c r="A75" s="8" t="s">
        <v>91</v>
      </c>
      <c r="B75" s="8" t="s">
        <v>21</v>
      </c>
      <c r="C75" s="8">
        <v>2</v>
      </c>
      <c r="D75" s="8">
        <v>48</v>
      </c>
      <c r="E75" s="8">
        <v>43</v>
      </c>
      <c r="F75" s="8">
        <v>4.4400000000000004</v>
      </c>
      <c r="G75" s="8">
        <v>40</v>
      </c>
      <c r="H75" s="8">
        <f t="shared" si="5"/>
        <v>89.58</v>
      </c>
      <c r="I75" s="8">
        <f t="shared" si="6"/>
        <v>0.93</v>
      </c>
      <c r="J75" s="8">
        <f t="shared" si="7"/>
        <v>21.5</v>
      </c>
      <c r="K75" s="8">
        <f t="shared" si="8"/>
        <v>3.98</v>
      </c>
      <c r="L75" s="2" t="str">
        <f t="shared" si="9"/>
        <v>Solid Performer</v>
      </c>
    </row>
    <row r="76" spans="1:12" x14ac:dyDescent="0.3">
      <c r="A76" s="8" t="s">
        <v>92</v>
      </c>
      <c r="B76" s="8" t="s">
        <v>21</v>
      </c>
      <c r="C76" s="8">
        <v>3</v>
      </c>
      <c r="D76" s="8">
        <v>39</v>
      </c>
      <c r="E76" s="8">
        <v>27</v>
      </c>
      <c r="F76" s="8">
        <v>3.91</v>
      </c>
      <c r="G76" s="8">
        <v>41</v>
      </c>
      <c r="H76" s="8">
        <f t="shared" si="5"/>
        <v>69.23</v>
      </c>
      <c r="I76" s="8">
        <f t="shared" si="6"/>
        <v>1.52</v>
      </c>
      <c r="J76" s="8">
        <f t="shared" si="7"/>
        <v>9</v>
      </c>
      <c r="K76" s="8">
        <f t="shared" si="8"/>
        <v>2.71</v>
      </c>
      <c r="L76" s="2" t="str">
        <f t="shared" si="9"/>
        <v>At Risk</v>
      </c>
    </row>
    <row r="77" spans="1:12" x14ac:dyDescent="0.3">
      <c r="A77" s="8" t="s">
        <v>93</v>
      </c>
      <c r="B77" s="8" t="s">
        <v>24</v>
      </c>
      <c r="C77" s="8">
        <v>3</v>
      </c>
      <c r="D77" s="8">
        <v>47</v>
      </c>
      <c r="E77" s="8">
        <v>40</v>
      </c>
      <c r="F77" s="8">
        <v>3.61</v>
      </c>
      <c r="G77" s="8">
        <v>42</v>
      </c>
      <c r="H77" s="8">
        <f t="shared" si="5"/>
        <v>85.11</v>
      </c>
      <c r="I77" s="8">
        <f t="shared" si="6"/>
        <v>1.05</v>
      </c>
      <c r="J77" s="8">
        <f t="shared" si="7"/>
        <v>13.33</v>
      </c>
      <c r="K77" s="8">
        <f t="shared" si="8"/>
        <v>3.07</v>
      </c>
      <c r="L77" s="2" t="str">
        <f t="shared" si="9"/>
        <v>At Risk</v>
      </c>
    </row>
    <row r="78" spans="1:12" x14ac:dyDescent="0.3">
      <c r="A78" s="8" t="s">
        <v>94</v>
      </c>
      <c r="B78" s="8" t="s">
        <v>24</v>
      </c>
      <c r="C78" s="8">
        <v>4</v>
      </c>
      <c r="D78" s="8">
        <v>39</v>
      </c>
      <c r="E78" s="8">
        <v>25</v>
      </c>
      <c r="F78" s="8">
        <v>4.72</v>
      </c>
      <c r="G78" s="8">
        <v>43</v>
      </c>
      <c r="H78" s="8">
        <f t="shared" si="5"/>
        <v>64.099999999999994</v>
      </c>
      <c r="I78" s="8">
        <f t="shared" si="6"/>
        <v>1.72</v>
      </c>
      <c r="J78" s="8">
        <f t="shared" si="7"/>
        <v>6.25</v>
      </c>
      <c r="K78" s="8">
        <f t="shared" si="8"/>
        <v>3.03</v>
      </c>
      <c r="L78" s="2" t="str">
        <f t="shared" si="9"/>
        <v>At Risk</v>
      </c>
    </row>
    <row r="79" spans="1:12" x14ac:dyDescent="0.3">
      <c r="A79" s="8" t="s">
        <v>95</v>
      </c>
      <c r="B79" s="8" t="s">
        <v>14</v>
      </c>
      <c r="C79" s="8">
        <v>3</v>
      </c>
      <c r="D79" s="8">
        <v>50</v>
      </c>
      <c r="E79" s="8">
        <v>37</v>
      </c>
      <c r="F79" s="8">
        <v>4.9000000000000004</v>
      </c>
      <c r="G79" s="8">
        <v>49</v>
      </c>
      <c r="H79" s="8">
        <f t="shared" si="5"/>
        <v>74</v>
      </c>
      <c r="I79" s="8">
        <f t="shared" si="6"/>
        <v>1.32</v>
      </c>
      <c r="J79" s="8">
        <f t="shared" si="7"/>
        <v>12.33</v>
      </c>
      <c r="K79" s="8">
        <f t="shared" si="8"/>
        <v>3.63</v>
      </c>
      <c r="L79" s="2" t="str">
        <f t="shared" si="9"/>
        <v>Solid Performer</v>
      </c>
    </row>
    <row r="80" spans="1:12" x14ac:dyDescent="0.3">
      <c r="A80" s="8" t="s">
        <v>96</v>
      </c>
      <c r="B80" s="8" t="s">
        <v>14</v>
      </c>
      <c r="C80" s="8">
        <v>2</v>
      </c>
      <c r="D80" s="8">
        <v>50</v>
      </c>
      <c r="E80" s="8">
        <v>47</v>
      </c>
      <c r="F80" s="8">
        <v>4.32</v>
      </c>
      <c r="G80" s="8">
        <v>46</v>
      </c>
      <c r="H80" s="8">
        <f t="shared" si="5"/>
        <v>94</v>
      </c>
      <c r="I80" s="8">
        <f t="shared" si="6"/>
        <v>0.98</v>
      </c>
      <c r="J80" s="8">
        <f t="shared" si="7"/>
        <v>23.5</v>
      </c>
      <c r="K80" s="8">
        <f t="shared" si="8"/>
        <v>4.0599999999999996</v>
      </c>
      <c r="L80" s="2" t="str">
        <f t="shared" si="9"/>
        <v>Top Performer</v>
      </c>
    </row>
    <row r="81" spans="1:12" x14ac:dyDescent="0.3">
      <c r="A81" s="8" t="s">
        <v>97</v>
      </c>
      <c r="B81" s="8" t="s">
        <v>21</v>
      </c>
      <c r="C81" s="8">
        <v>3</v>
      </c>
      <c r="D81" s="8">
        <v>32</v>
      </c>
      <c r="E81" s="8">
        <v>30</v>
      </c>
      <c r="F81" s="8">
        <v>4.12</v>
      </c>
      <c r="G81" s="8">
        <v>41</v>
      </c>
      <c r="H81" s="8">
        <f t="shared" si="5"/>
        <v>93.75</v>
      </c>
      <c r="I81" s="8">
        <f t="shared" si="6"/>
        <v>1.37</v>
      </c>
      <c r="J81" s="8">
        <f t="shared" si="7"/>
        <v>10</v>
      </c>
      <c r="K81" s="8">
        <f t="shared" si="8"/>
        <v>3.86</v>
      </c>
      <c r="L81" s="2" t="str">
        <f t="shared" si="9"/>
        <v>Solid Performer</v>
      </c>
    </row>
    <row r="82" spans="1:12" x14ac:dyDescent="0.3">
      <c r="A82" s="8" t="s">
        <v>98</v>
      </c>
      <c r="B82" s="8" t="s">
        <v>21</v>
      </c>
      <c r="C82" s="8">
        <v>2</v>
      </c>
      <c r="D82" s="8">
        <v>53</v>
      </c>
      <c r="E82" s="8">
        <v>48</v>
      </c>
      <c r="F82" s="8">
        <v>4.34</v>
      </c>
      <c r="G82" s="8">
        <v>40</v>
      </c>
      <c r="H82" s="8">
        <f t="shared" si="5"/>
        <v>90.57</v>
      </c>
      <c r="I82" s="8">
        <f t="shared" si="6"/>
        <v>0.83</v>
      </c>
      <c r="J82" s="8">
        <f t="shared" si="7"/>
        <v>24</v>
      </c>
      <c r="K82" s="8">
        <f t="shared" si="8"/>
        <v>3.93</v>
      </c>
      <c r="L82" s="2" t="str">
        <f t="shared" si="9"/>
        <v>Solid Performer</v>
      </c>
    </row>
    <row r="83" spans="1:12" x14ac:dyDescent="0.3">
      <c r="A83" s="8" t="s">
        <v>99</v>
      </c>
      <c r="B83" s="8" t="s">
        <v>24</v>
      </c>
      <c r="C83" s="8">
        <v>3</v>
      </c>
      <c r="D83" s="8">
        <v>54</v>
      </c>
      <c r="E83" s="8">
        <v>38</v>
      </c>
      <c r="F83" s="8">
        <v>4.07</v>
      </c>
      <c r="G83" s="8">
        <v>35</v>
      </c>
      <c r="H83" s="8">
        <f t="shared" si="5"/>
        <v>70.37</v>
      </c>
      <c r="I83" s="8">
        <f t="shared" si="6"/>
        <v>0.92</v>
      </c>
      <c r="J83" s="8">
        <f t="shared" si="7"/>
        <v>12.67</v>
      </c>
      <c r="K83" s="8">
        <f t="shared" si="8"/>
        <v>2.86</v>
      </c>
      <c r="L83" s="2" t="str">
        <f t="shared" si="9"/>
        <v>At Risk</v>
      </c>
    </row>
    <row r="84" spans="1:12" x14ac:dyDescent="0.3">
      <c r="A84" s="8" t="s">
        <v>100</v>
      </c>
      <c r="B84" s="8" t="s">
        <v>14</v>
      </c>
      <c r="C84" s="8">
        <v>3</v>
      </c>
      <c r="D84" s="8">
        <v>54</v>
      </c>
      <c r="E84" s="8">
        <v>40</v>
      </c>
      <c r="F84" s="8">
        <v>4.84</v>
      </c>
      <c r="G84" s="8">
        <v>42</v>
      </c>
      <c r="H84" s="8">
        <f t="shared" si="5"/>
        <v>74.069999999999993</v>
      </c>
      <c r="I84" s="8">
        <f t="shared" si="6"/>
        <v>1.05</v>
      </c>
      <c r="J84" s="8">
        <f t="shared" si="7"/>
        <v>13.33</v>
      </c>
      <c r="K84" s="8">
        <f t="shared" si="8"/>
        <v>3.58</v>
      </c>
      <c r="L84" s="2" t="str">
        <f t="shared" si="9"/>
        <v>Solid Performer</v>
      </c>
    </row>
    <row r="85" spans="1:12" x14ac:dyDescent="0.3">
      <c r="A85" s="8" t="s">
        <v>101</v>
      </c>
      <c r="B85" s="8" t="s">
        <v>14</v>
      </c>
      <c r="C85" s="8">
        <v>3</v>
      </c>
      <c r="D85" s="8">
        <v>38</v>
      </c>
      <c r="E85" s="8">
        <v>34</v>
      </c>
      <c r="F85" s="8">
        <v>4.03</v>
      </c>
      <c r="G85" s="8">
        <v>45</v>
      </c>
      <c r="H85" s="8">
        <f t="shared" si="5"/>
        <v>89.47</v>
      </c>
      <c r="I85" s="8">
        <f t="shared" si="6"/>
        <v>1.32</v>
      </c>
      <c r="J85" s="8">
        <f t="shared" si="7"/>
        <v>11.33</v>
      </c>
      <c r="K85" s="8">
        <f t="shared" si="8"/>
        <v>3.61</v>
      </c>
      <c r="L85" s="2" t="str">
        <f t="shared" si="9"/>
        <v>Solid Performer</v>
      </c>
    </row>
    <row r="86" spans="1:12" x14ac:dyDescent="0.3">
      <c r="A86" s="8" t="s">
        <v>102</v>
      </c>
      <c r="B86" s="8" t="s">
        <v>18</v>
      </c>
      <c r="C86" s="8">
        <v>5</v>
      </c>
      <c r="D86" s="8">
        <v>44</v>
      </c>
      <c r="E86" s="8">
        <v>29</v>
      </c>
      <c r="F86" s="8">
        <v>3.64</v>
      </c>
      <c r="G86" s="8">
        <v>58</v>
      </c>
      <c r="H86" s="8">
        <f t="shared" si="5"/>
        <v>65.91</v>
      </c>
      <c r="I86" s="8">
        <f t="shared" si="6"/>
        <v>2</v>
      </c>
      <c r="J86" s="8">
        <f t="shared" si="7"/>
        <v>5.8</v>
      </c>
      <c r="K86" s="8">
        <f t="shared" si="8"/>
        <v>2.4</v>
      </c>
      <c r="L86" s="2" t="str">
        <f t="shared" si="9"/>
        <v>At Risk</v>
      </c>
    </row>
    <row r="87" spans="1:12" x14ac:dyDescent="0.3">
      <c r="A87" s="8" t="s">
        <v>103</v>
      </c>
      <c r="B87" s="8" t="s">
        <v>14</v>
      </c>
      <c r="C87" s="8">
        <v>2</v>
      </c>
      <c r="D87" s="8">
        <v>50</v>
      </c>
      <c r="E87" s="8">
        <v>43</v>
      </c>
      <c r="F87" s="8">
        <v>4.6900000000000004</v>
      </c>
      <c r="G87" s="8">
        <v>50</v>
      </c>
      <c r="H87" s="8">
        <f t="shared" si="5"/>
        <v>86</v>
      </c>
      <c r="I87" s="8">
        <f t="shared" si="6"/>
        <v>1.1599999999999999</v>
      </c>
      <c r="J87" s="8">
        <f t="shared" si="7"/>
        <v>21.5</v>
      </c>
      <c r="K87" s="8">
        <f t="shared" si="8"/>
        <v>4.03</v>
      </c>
      <c r="L87" s="2" t="str">
        <f t="shared" si="9"/>
        <v>Top Performer</v>
      </c>
    </row>
    <row r="88" spans="1:12" x14ac:dyDescent="0.3">
      <c r="A88" s="8" t="s">
        <v>104</v>
      </c>
      <c r="B88" s="8" t="s">
        <v>24</v>
      </c>
      <c r="C88" s="8">
        <v>3</v>
      </c>
      <c r="D88" s="8">
        <v>39</v>
      </c>
      <c r="E88" s="8">
        <v>36</v>
      </c>
      <c r="F88" s="8">
        <v>4.99</v>
      </c>
      <c r="G88" s="8">
        <v>44</v>
      </c>
      <c r="H88" s="8">
        <f t="shared" si="5"/>
        <v>92.31</v>
      </c>
      <c r="I88" s="8">
        <f t="shared" si="6"/>
        <v>1.22</v>
      </c>
      <c r="J88" s="8">
        <f t="shared" si="7"/>
        <v>12</v>
      </c>
      <c r="K88" s="8">
        <f t="shared" si="8"/>
        <v>4.6100000000000003</v>
      </c>
      <c r="L88" s="2" t="str">
        <f t="shared" si="9"/>
        <v>Top Performer</v>
      </c>
    </row>
    <row r="89" spans="1:12" x14ac:dyDescent="0.3">
      <c r="A89" s="8" t="s">
        <v>105</v>
      </c>
      <c r="B89" s="8" t="s">
        <v>24</v>
      </c>
      <c r="C89" s="8">
        <v>3</v>
      </c>
      <c r="D89" s="8">
        <v>52</v>
      </c>
      <c r="E89" s="8">
        <v>42</v>
      </c>
      <c r="F89" s="8">
        <v>4.5599999999999996</v>
      </c>
      <c r="G89" s="8">
        <v>43</v>
      </c>
      <c r="H89" s="8">
        <f t="shared" si="5"/>
        <v>80.77</v>
      </c>
      <c r="I89" s="8">
        <f t="shared" si="6"/>
        <v>1.02</v>
      </c>
      <c r="J89" s="8">
        <f t="shared" si="7"/>
        <v>14</v>
      </c>
      <c r="K89" s="8">
        <f t="shared" si="8"/>
        <v>3.68</v>
      </c>
      <c r="L89" s="2" t="str">
        <f t="shared" si="9"/>
        <v>Solid Performer</v>
      </c>
    </row>
    <row r="90" spans="1:12" x14ac:dyDescent="0.3">
      <c r="A90" s="8" t="s">
        <v>106</v>
      </c>
      <c r="B90" s="8" t="s">
        <v>16</v>
      </c>
      <c r="C90" s="8">
        <v>3</v>
      </c>
      <c r="D90" s="8">
        <v>41</v>
      </c>
      <c r="E90" s="8">
        <v>37</v>
      </c>
      <c r="F90" s="8">
        <v>4.76</v>
      </c>
      <c r="G90" s="8">
        <v>52</v>
      </c>
      <c r="H90" s="8">
        <f t="shared" si="5"/>
        <v>90.24</v>
      </c>
      <c r="I90" s="8">
        <f t="shared" si="6"/>
        <v>1.41</v>
      </c>
      <c r="J90" s="8">
        <f t="shared" si="7"/>
        <v>12.33</v>
      </c>
      <c r="K90" s="8">
        <f t="shared" si="8"/>
        <v>4.3</v>
      </c>
      <c r="L90" s="2" t="str">
        <f t="shared" si="9"/>
        <v>Top Performer</v>
      </c>
    </row>
    <row r="91" spans="1:12" x14ac:dyDescent="0.3">
      <c r="A91" s="8" t="s">
        <v>107</v>
      </c>
      <c r="B91" s="8" t="s">
        <v>16</v>
      </c>
      <c r="C91" s="8">
        <v>2</v>
      </c>
      <c r="D91" s="8">
        <v>47</v>
      </c>
      <c r="E91" s="8">
        <v>43</v>
      </c>
      <c r="F91" s="8">
        <v>3.72</v>
      </c>
      <c r="G91" s="8">
        <v>49</v>
      </c>
      <c r="H91" s="8">
        <f t="shared" si="5"/>
        <v>91.49</v>
      </c>
      <c r="I91" s="8">
        <f t="shared" si="6"/>
        <v>1.1399999999999999</v>
      </c>
      <c r="J91" s="8">
        <f t="shared" si="7"/>
        <v>21.5</v>
      </c>
      <c r="K91" s="8">
        <f t="shared" si="8"/>
        <v>3.4</v>
      </c>
      <c r="L91" s="2" t="str">
        <f t="shared" si="9"/>
        <v>Solid Performer</v>
      </c>
    </row>
    <row r="92" spans="1:12" x14ac:dyDescent="0.3">
      <c r="A92" s="8" t="s">
        <v>108</v>
      </c>
      <c r="B92" s="8" t="s">
        <v>18</v>
      </c>
      <c r="C92" s="8">
        <v>4</v>
      </c>
      <c r="D92" s="8">
        <v>30</v>
      </c>
      <c r="E92" s="8">
        <v>27</v>
      </c>
      <c r="F92" s="8">
        <v>3.86</v>
      </c>
      <c r="G92" s="8">
        <v>56</v>
      </c>
      <c r="H92" s="8">
        <f t="shared" si="5"/>
        <v>90</v>
      </c>
      <c r="I92" s="8">
        <f t="shared" si="6"/>
        <v>2.0699999999999998</v>
      </c>
      <c r="J92" s="8">
        <f t="shared" si="7"/>
        <v>6.75</v>
      </c>
      <c r="K92" s="8">
        <f t="shared" si="8"/>
        <v>3.47</v>
      </c>
      <c r="L92" s="2" t="str">
        <f t="shared" si="9"/>
        <v>Solid Performer</v>
      </c>
    </row>
    <row r="93" spans="1:12" x14ac:dyDescent="0.3">
      <c r="A93" s="8" t="s">
        <v>109</v>
      </c>
      <c r="B93" s="8" t="s">
        <v>21</v>
      </c>
      <c r="C93" s="8">
        <v>2</v>
      </c>
      <c r="D93" s="8">
        <v>33</v>
      </c>
      <c r="E93" s="8">
        <v>24</v>
      </c>
      <c r="F93" s="8">
        <v>4.5599999999999996</v>
      </c>
      <c r="G93" s="8">
        <v>42</v>
      </c>
      <c r="H93" s="8">
        <f t="shared" si="5"/>
        <v>72.73</v>
      </c>
      <c r="I93" s="8">
        <f t="shared" si="6"/>
        <v>1.75</v>
      </c>
      <c r="J93" s="8">
        <f t="shared" si="7"/>
        <v>12</v>
      </c>
      <c r="K93" s="8">
        <f t="shared" si="8"/>
        <v>3.32</v>
      </c>
      <c r="L93" s="2" t="str">
        <f t="shared" si="9"/>
        <v>Solid Performer</v>
      </c>
    </row>
    <row r="94" spans="1:12" x14ac:dyDescent="0.3">
      <c r="A94" s="8" t="s">
        <v>110</v>
      </c>
      <c r="B94" s="8" t="s">
        <v>24</v>
      </c>
      <c r="C94" s="8">
        <v>4</v>
      </c>
      <c r="D94" s="8">
        <v>51</v>
      </c>
      <c r="E94" s="8">
        <v>43</v>
      </c>
      <c r="F94" s="8">
        <v>3.87</v>
      </c>
      <c r="G94" s="8">
        <v>37</v>
      </c>
      <c r="H94" s="8">
        <f t="shared" si="5"/>
        <v>84.31</v>
      </c>
      <c r="I94" s="8">
        <f t="shared" si="6"/>
        <v>0.86</v>
      </c>
      <c r="J94" s="8">
        <f t="shared" si="7"/>
        <v>10.75</v>
      </c>
      <c r="K94" s="8">
        <f t="shared" si="8"/>
        <v>3.26</v>
      </c>
      <c r="L94" s="2" t="str">
        <f t="shared" si="9"/>
        <v>Solid Performer</v>
      </c>
    </row>
    <row r="95" spans="1:12" x14ac:dyDescent="0.3">
      <c r="A95" s="8" t="s">
        <v>111</v>
      </c>
      <c r="B95" s="8" t="s">
        <v>18</v>
      </c>
      <c r="C95" s="8">
        <v>4</v>
      </c>
      <c r="D95" s="8">
        <v>42</v>
      </c>
      <c r="E95" s="8">
        <v>32</v>
      </c>
      <c r="F95" s="8">
        <v>4.3600000000000003</v>
      </c>
      <c r="G95" s="8">
        <v>53</v>
      </c>
      <c r="H95" s="8">
        <f t="shared" si="5"/>
        <v>76.19</v>
      </c>
      <c r="I95" s="8">
        <f t="shared" si="6"/>
        <v>1.66</v>
      </c>
      <c r="J95" s="8">
        <f t="shared" si="7"/>
        <v>8</v>
      </c>
      <c r="K95" s="8">
        <f t="shared" si="8"/>
        <v>3.32</v>
      </c>
      <c r="L95" s="2" t="str">
        <f t="shared" si="9"/>
        <v>Solid Performer</v>
      </c>
    </row>
    <row r="96" spans="1:12" x14ac:dyDescent="0.3">
      <c r="A96" s="8" t="s">
        <v>112</v>
      </c>
      <c r="B96" s="8" t="s">
        <v>14</v>
      </c>
      <c r="C96" s="8">
        <v>3</v>
      </c>
      <c r="D96" s="8">
        <v>38</v>
      </c>
      <c r="E96" s="8">
        <v>33</v>
      </c>
      <c r="F96" s="8">
        <v>4.5199999999999996</v>
      </c>
      <c r="G96" s="8">
        <v>50</v>
      </c>
      <c r="H96" s="8">
        <f t="shared" si="5"/>
        <v>86.84</v>
      </c>
      <c r="I96" s="8">
        <f t="shared" si="6"/>
        <v>1.52</v>
      </c>
      <c r="J96" s="8">
        <f t="shared" si="7"/>
        <v>11</v>
      </c>
      <c r="K96" s="8">
        <f t="shared" si="8"/>
        <v>3.93</v>
      </c>
      <c r="L96" s="2" t="str">
        <f t="shared" si="9"/>
        <v>Solid Performer</v>
      </c>
    </row>
    <row r="97" spans="1:12" x14ac:dyDescent="0.3">
      <c r="A97" s="8" t="s">
        <v>113</v>
      </c>
      <c r="B97" s="8" t="s">
        <v>14</v>
      </c>
      <c r="C97" s="8">
        <v>2</v>
      </c>
      <c r="D97" s="8">
        <v>54</v>
      </c>
      <c r="E97" s="8">
        <v>49</v>
      </c>
      <c r="F97" s="8">
        <v>3.84</v>
      </c>
      <c r="G97" s="8">
        <v>47</v>
      </c>
      <c r="H97" s="8">
        <f t="shared" si="5"/>
        <v>90.74</v>
      </c>
      <c r="I97" s="8">
        <f t="shared" si="6"/>
        <v>0.96</v>
      </c>
      <c r="J97" s="8">
        <f t="shared" si="7"/>
        <v>24.5</v>
      </c>
      <c r="K97" s="8">
        <f t="shared" si="8"/>
        <v>3.48</v>
      </c>
      <c r="L97" s="2" t="str">
        <f t="shared" si="9"/>
        <v>Solid Performer</v>
      </c>
    </row>
    <row r="98" spans="1:12" x14ac:dyDescent="0.3">
      <c r="A98" s="8" t="s">
        <v>114</v>
      </c>
      <c r="B98" s="8" t="s">
        <v>16</v>
      </c>
      <c r="C98" s="8">
        <v>3</v>
      </c>
      <c r="D98" s="8">
        <v>42</v>
      </c>
      <c r="E98" s="8">
        <v>39</v>
      </c>
      <c r="F98" s="8">
        <v>3.56</v>
      </c>
      <c r="G98" s="8">
        <v>49</v>
      </c>
      <c r="H98" s="8">
        <f t="shared" si="5"/>
        <v>92.86</v>
      </c>
      <c r="I98" s="8">
        <f t="shared" si="6"/>
        <v>1.26</v>
      </c>
      <c r="J98" s="8">
        <f t="shared" si="7"/>
        <v>13</v>
      </c>
      <c r="K98" s="8">
        <f t="shared" si="8"/>
        <v>3.31</v>
      </c>
      <c r="L98" s="2" t="str">
        <f t="shared" si="9"/>
        <v>Solid Performer</v>
      </c>
    </row>
    <row r="99" spans="1:12" x14ac:dyDescent="0.3">
      <c r="A99" s="8" t="s">
        <v>115</v>
      </c>
      <c r="B99" s="8" t="s">
        <v>24</v>
      </c>
      <c r="C99" s="8">
        <v>3</v>
      </c>
      <c r="D99" s="8">
        <v>34</v>
      </c>
      <c r="E99" s="8">
        <v>24</v>
      </c>
      <c r="F99" s="8">
        <v>4.54</v>
      </c>
      <c r="G99" s="8">
        <v>43</v>
      </c>
      <c r="H99" s="8">
        <f t="shared" si="5"/>
        <v>70.59</v>
      </c>
      <c r="I99" s="8">
        <f t="shared" si="6"/>
        <v>1.79</v>
      </c>
      <c r="J99" s="8">
        <f t="shared" si="7"/>
        <v>8</v>
      </c>
      <c r="K99" s="8">
        <f t="shared" si="8"/>
        <v>3.2</v>
      </c>
      <c r="L99" s="2" t="str">
        <f t="shared" si="9"/>
        <v>Solid Performer</v>
      </c>
    </row>
    <row r="100" spans="1:12" x14ac:dyDescent="0.3">
      <c r="A100" s="8" t="s">
        <v>116</v>
      </c>
      <c r="B100" s="8" t="s">
        <v>16</v>
      </c>
      <c r="C100" s="8">
        <v>2</v>
      </c>
      <c r="D100" s="8">
        <v>38</v>
      </c>
      <c r="E100" s="8">
        <v>27</v>
      </c>
      <c r="F100" s="8">
        <v>3.94</v>
      </c>
      <c r="G100" s="8">
        <v>45</v>
      </c>
      <c r="H100" s="8">
        <f t="shared" si="5"/>
        <v>71.05</v>
      </c>
      <c r="I100" s="8">
        <f t="shared" si="6"/>
        <v>1.67</v>
      </c>
      <c r="J100" s="8">
        <f t="shared" si="7"/>
        <v>13.5</v>
      </c>
      <c r="K100" s="8">
        <f t="shared" si="8"/>
        <v>2.8</v>
      </c>
      <c r="L100" s="2" t="str">
        <f t="shared" si="9"/>
        <v>At Risk</v>
      </c>
    </row>
    <row r="101" spans="1:12" x14ac:dyDescent="0.3">
      <c r="A101" s="8" t="s">
        <v>117</v>
      </c>
      <c r="B101" s="8" t="s">
        <v>24</v>
      </c>
      <c r="C101" s="8">
        <v>4</v>
      </c>
      <c r="D101" s="8">
        <v>51</v>
      </c>
      <c r="E101" s="8">
        <v>39</v>
      </c>
      <c r="F101" s="8">
        <v>4.6100000000000003</v>
      </c>
      <c r="G101" s="8">
        <v>44</v>
      </c>
      <c r="H101" s="8">
        <f t="shared" si="5"/>
        <v>76.47</v>
      </c>
      <c r="I101" s="8">
        <f t="shared" si="6"/>
        <v>1.1299999999999999</v>
      </c>
      <c r="J101" s="8">
        <f t="shared" si="7"/>
        <v>9.75</v>
      </c>
      <c r="K101" s="8">
        <f t="shared" si="8"/>
        <v>3.53</v>
      </c>
      <c r="L101" s="2" t="str">
        <f t="shared" si="9"/>
        <v>Solid Performer</v>
      </c>
    </row>
    <row r="102" spans="1:12" x14ac:dyDescent="0.3">
      <c r="A102" s="8" t="s">
        <v>118</v>
      </c>
      <c r="B102" s="8" t="s">
        <v>14</v>
      </c>
      <c r="C102" s="8">
        <v>3</v>
      </c>
      <c r="D102" s="8">
        <v>50</v>
      </c>
      <c r="E102" s="8">
        <v>36</v>
      </c>
      <c r="F102" s="8">
        <v>3.78</v>
      </c>
      <c r="G102" s="8">
        <v>51</v>
      </c>
      <c r="H102" s="8">
        <f t="shared" si="5"/>
        <v>72</v>
      </c>
      <c r="I102" s="8">
        <f t="shared" si="6"/>
        <v>1.42</v>
      </c>
      <c r="J102" s="8">
        <f t="shared" si="7"/>
        <v>12</v>
      </c>
      <c r="K102" s="8">
        <f t="shared" si="8"/>
        <v>2.72</v>
      </c>
      <c r="L102" s="2" t="str">
        <f t="shared" si="9"/>
        <v>At Risk</v>
      </c>
    </row>
    <row r="103" spans="1:12" x14ac:dyDescent="0.3">
      <c r="A103" s="8" t="s">
        <v>119</v>
      </c>
      <c r="B103" s="8" t="s">
        <v>16</v>
      </c>
      <c r="C103" s="8">
        <v>3</v>
      </c>
      <c r="D103" s="8">
        <v>47</v>
      </c>
      <c r="E103" s="8">
        <v>34</v>
      </c>
      <c r="F103" s="8">
        <v>4.04</v>
      </c>
      <c r="G103" s="8">
        <v>48</v>
      </c>
      <c r="H103" s="8">
        <f t="shared" si="5"/>
        <v>72.34</v>
      </c>
      <c r="I103" s="8">
        <f t="shared" si="6"/>
        <v>1.41</v>
      </c>
      <c r="J103" s="8">
        <f t="shared" si="7"/>
        <v>11.33</v>
      </c>
      <c r="K103" s="8">
        <f t="shared" si="8"/>
        <v>2.92</v>
      </c>
      <c r="L103" s="2" t="str">
        <f t="shared" si="9"/>
        <v>At Risk</v>
      </c>
    </row>
    <row r="104" spans="1:12" x14ac:dyDescent="0.3">
      <c r="A104" s="8" t="s">
        <v>120</v>
      </c>
      <c r="B104" s="8" t="s">
        <v>18</v>
      </c>
      <c r="C104" s="8">
        <v>5</v>
      </c>
      <c r="D104" s="8">
        <v>46</v>
      </c>
      <c r="E104" s="8">
        <v>33</v>
      </c>
      <c r="F104" s="8">
        <v>4.12</v>
      </c>
      <c r="G104" s="8">
        <v>52</v>
      </c>
      <c r="H104" s="8">
        <f t="shared" si="5"/>
        <v>71.739999999999995</v>
      </c>
      <c r="I104" s="8">
        <f t="shared" si="6"/>
        <v>1.58</v>
      </c>
      <c r="J104" s="8">
        <f t="shared" si="7"/>
        <v>6.6</v>
      </c>
      <c r="K104" s="8">
        <f t="shared" si="8"/>
        <v>2.96</v>
      </c>
      <c r="L104" s="2" t="str">
        <f t="shared" si="9"/>
        <v>At Risk</v>
      </c>
    </row>
    <row r="105" spans="1:12" x14ac:dyDescent="0.3">
      <c r="A105" s="8" t="s">
        <v>121</v>
      </c>
      <c r="B105" s="8" t="s">
        <v>24</v>
      </c>
      <c r="C105" s="8">
        <v>4</v>
      </c>
      <c r="D105" s="8">
        <v>47</v>
      </c>
      <c r="E105" s="8">
        <v>36</v>
      </c>
      <c r="F105" s="8">
        <v>4.37</v>
      </c>
      <c r="G105" s="8">
        <v>43</v>
      </c>
      <c r="H105" s="8">
        <f t="shared" si="5"/>
        <v>76.599999999999994</v>
      </c>
      <c r="I105" s="8">
        <f t="shared" si="6"/>
        <v>1.19</v>
      </c>
      <c r="J105" s="8">
        <f t="shared" si="7"/>
        <v>9</v>
      </c>
      <c r="K105" s="8">
        <f t="shared" si="8"/>
        <v>3.35</v>
      </c>
      <c r="L105" s="2" t="str">
        <f t="shared" si="9"/>
        <v>Solid Performer</v>
      </c>
    </row>
    <row r="106" spans="1:12" x14ac:dyDescent="0.3">
      <c r="A106" s="8" t="s">
        <v>122</v>
      </c>
      <c r="B106" s="8" t="s">
        <v>16</v>
      </c>
      <c r="C106" s="8">
        <v>3</v>
      </c>
      <c r="D106" s="8">
        <v>53</v>
      </c>
      <c r="E106" s="8">
        <v>48</v>
      </c>
      <c r="F106" s="8">
        <v>4.33</v>
      </c>
      <c r="G106" s="8">
        <v>49</v>
      </c>
      <c r="H106" s="8">
        <f t="shared" si="5"/>
        <v>90.57</v>
      </c>
      <c r="I106" s="8">
        <f t="shared" si="6"/>
        <v>1.02</v>
      </c>
      <c r="J106" s="8">
        <f t="shared" si="7"/>
        <v>16</v>
      </c>
      <c r="K106" s="8">
        <f t="shared" si="8"/>
        <v>3.92</v>
      </c>
      <c r="L106" s="2" t="str">
        <f t="shared" si="9"/>
        <v>Solid Performer</v>
      </c>
    </row>
    <row r="107" spans="1:12" x14ac:dyDescent="0.3">
      <c r="A107" s="8" t="s">
        <v>123</v>
      </c>
      <c r="B107" s="8" t="s">
        <v>21</v>
      </c>
      <c r="C107" s="8">
        <v>3</v>
      </c>
      <c r="D107" s="8">
        <v>30</v>
      </c>
      <c r="E107" s="8">
        <v>23</v>
      </c>
      <c r="F107" s="8">
        <v>4.9800000000000004</v>
      </c>
      <c r="G107" s="8">
        <v>44</v>
      </c>
      <c r="H107" s="8">
        <f t="shared" si="5"/>
        <v>76.67</v>
      </c>
      <c r="I107" s="8">
        <f t="shared" si="6"/>
        <v>1.91</v>
      </c>
      <c r="J107" s="8">
        <f t="shared" si="7"/>
        <v>7.67</v>
      </c>
      <c r="K107" s="8">
        <f t="shared" si="8"/>
        <v>3.82</v>
      </c>
      <c r="L107" s="2" t="str">
        <f t="shared" si="9"/>
        <v>Solid Performer</v>
      </c>
    </row>
    <row r="108" spans="1:12" x14ac:dyDescent="0.3">
      <c r="A108" s="8" t="s">
        <v>124</v>
      </c>
      <c r="B108" s="8" t="s">
        <v>16</v>
      </c>
      <c r="C108" s="8">
        <v>2</v>
      </c>
      <c r="D108" s="8">
        <v>54</v>
      </c>
      <c r="E108" s="8">
        <v>50</v>
      </c>
      <c r="F108" s="8">
        <v>4.76</v>
      </c>
      <c r="G108" s="8">
        <v>45</v>
      </c>
      <c r="H108" s="8">
        <f t="shared" si="5"/>
        <v>92.59</v>
      </c>
      <c r="I108" s="8">
        <f t="shared" si="6"/>
        <v>0.9</v>
      </c>
      <c r="J108" s="8">
        <f t="shared" si="7"/>
        <v>25</v>
      </c>
      <c r="K108" s="8">
        <f t="shared" si="8"/>
        <v>4.41</v>
      </c>
      <c r="L108" s="2" t="str">
        <f t="shared" si="9"/>
        <v>Top Performer</v>
      </c>
    </row>
    <row r="109" spans="1:12" x14ac:dyDescent="0.3">
      <c r="A109" s="8" t="s">
        <v>125</v>
      </c>
      <c r="B109" s="8" t="s">
        <v>16</v>
      </c>
      <c r="C109" s="8">
        <v>2</v>
      </c>
      <c r="D109" s="8">
        <v>32</v>
      </c>
      <c r="E109" s="8">
        <v>22</v>
      </c>
      <c r="F109" s="8">
        <v>3.52</v>
      </c>
      <c r="G109" s="8">
        <v>51</v>
      </c>
      <c r="H109" s="8">
        <f t="shared" si="5"/>
        <v>68.75</v>
      </c>
      <c r="I109" s="8">
        <f t="shared" si="6"/>
        <v>2.3199999999999998</v>
      </c>
      <c r="J109" s="8">
        <f t="shared" si="7"/>
        <v>11</v>
      </c>
      <c r="K109" s="8">
        <f t="shared" si="8"/>
        <v>2.42</v>
      </c>
      <c r="L109" s="2" t="str">
        <f t="shared" si="9"/>
        <v>At Risk</v>
      </c>
    </row>
    <row r="110" spans="1:12" x14ac:dyDescent="0.3">
      <c r="A110" s="8" t="s">
        <v>126</v>
      </c>
      <c r="B110" s="8" t="s">
        <v>14</v>
      </c>
      <c r="C110" s="8">
        <v>2</v>
      </c>
      <c r="D110" s="8">
        <v>34</v>
      </c>
      <c r="E110" s="8">
        <v>32</v>
      </c>
      <c r="F110" s="8">
        <v>4.99</v>
      </c>
      <c r="G110" s="8">
        <v>46</v>
      </c>
      <c r="H110" s="8">
        <f t="shared" si="5"/>
        <v>94.12</v>
      </c>
      <c r="I110" s="8">
        <f t="shared" si="6"/>
        <v>1.44</v>
      </c>
      <c r="J110" s="8">
        <f t="shared" si="7"/>
        <v>16</v>
      </c>
      <c r="K110" s="8">
        <f t="shared" si="8"/>
        <v>4.7</v>
      </c>
      <c r="L110" s="2" t="str">
        <f t="shared" si="9"/>
        <v>Top Performer</v>
      </c>
    </row>
    <row r="111" spans="1:12" x14ac:dyDescent="0.3">
      <c r="A111" s="8" t="s">
        <v>127</v>
      </c>
      <c r="B111" s="8" t="s">
        <v>24</v>
      </c>
      <c r="C111" s="8">
        <v>3</v>
      </c>
      <c r="D111" s="8">
        <v>34</v>
      </c>
      <c r="E111" s="8">
        <v>29</v>
      </c>
      <c r="F111" s="8">
        <v>4.07</v>
      </c>
      <c r="G111" s="8">
        <v>39</v>
      </c>
      <c r="H111" s="8">
        <f t="shared" si="5"/>
        <v>85.29</v>
      </c>
      <c r="I111" s="8">
        <f t="shared" si="6"/>
        <v>1.34</v>
      </c>
      <c r="J111" s="8">
        <f t="shared" si="7"/>
        <v>9.67</v>
      </c>
      <c r="K111" s="8">
        <f t="shared" si="8"/>
        <v>3.47</v>
      </c>
      <c r="L111" s="2" t="str">
        <f t="shared" si="9"/>
        <v>Solid Performer</v>
      </c>
    </row>
    <row r="112" spans="1:12" x14ac:dyDescent="0.3">
      <c r="A112" s="8" t="s">
        <v>128</v>
      </c>
      <c r="B112" s="8" t="s">
        <v>21</v>
      </c>
      <c r="C112" s="8">
        <v>3</v>
      </c>
      <c r="D112" s="8">
        <v>30</v>
      </c>
      <c r="E112" s="8">
        <v>28</v>
      </c>
      <c r="F112" s="8">
        <v>4.41</v>
      </c>
      <c r="G112" s="8">
        <v>40</v>
      </c>
      <c r="H112" s="8">
        <f t="shared" si="5"/>
        <v>93.33</v>
      </c>
      <c r="I112" s="8">
        <f t="shared" si="6"/>
        <v>1.43</v>
      </c>
      <c r="J112" s="8">
        <f t="shared" si="7"/>
        <v>9.33</v>
      </c>
      <c r="K112" s="8">
        <f t="shared" si="8"/>
        <v>4.12</v>
      </c>
      <c r="L112" s="2" t="str">
        <f t="shared" si="9"/>
        <v>Top Performer</v>
      </c>
    </row>
    <row r="113" spans="1:12" x14ac:dyDescent="0.3">
      <c r="A113" s="8" t="s">
        <v>129</v>
      </c>
      <c r="B113" s="8" t="s">
        <v>21</v>
      </c>
      <c r="C113" s="8">
        <v>3</v>
      </c>
      <c r="D113" s="8">
        <v>31</v>
      </c>
      <c r="E113" s="8">
        <v>23</v>
      </c>
      <c r="F113" s="8">
        <v>3.67</v>
      </c>
      <c r="G113" s="8">
        <v>49</v>
      </c>
      <c r="H113" s="8">
        <f t="shared" si="5"/>
        <v>74.19</v>
      </c>
      <c r="I113" s="8">
        <f t="shared" si="6"/>
        <v>2.13</v>
      </c>
      <c r="J113" s="8">
        <f t="shared" si="7"/>
        <v>7.67</v>
      </c>
      <c r="K113" s="8">
        <f t="shared" si="8"/>
        <v>2.72</v>
      </c>
      <c r="L113" s="2" t="str">
        <f t="shared" si="9"/>
        <v>At Risk</v>
      </c>
    </row>
    <row r="114" spans="1:12" x14ac:dyDescent="0.3">
      <c r="A114" s="8" t="s">
        <v>130</v>
      </c>
      <c r="B114" s="8" t="s">
        <v>16</v>
      </c>
      <c r="C114" s="8">
        <v>3</v>
      </c>
      <c r="D114" s="8">
        <v>51</v>
      </c>
      <c r="E114" s="8">
        <v>44</v>
      </c>
      <c r="F114" s="8">
        <v>4.28</v>
      </c>
      <c r="G114" s="8">
        <v>45</v>
      </c>
      <c r="H114" s="8">
        <f t="shared" si="5"/>
        <v>86.27</v>
      </c>
      <c r="I114" s="8">
        <f t="shared" si="6"/>
        <v>1.02</v>
      </c>
      <c r="J114" s="8">
        <f t="shared" si="7"/>
        <v>14.67</v>
      </c>
      <c r="K114" s="8">
        <f t="shared" si="8"/>
        <v>3.69</v>
      </c>
      <c r="L114" s="2" t="str">
        <f t="shared" si="9"/>
        <v>Solid Performer</v>
      </c>
    </row>
    <row r="115" spans="1:12" x14ac:dyDescent="0.3">
      <c r="A115" s="8" t="s">
        <v>131</v>
      </c>
      <c r="B115" s="8" t="s">
        <v>14</v>
      </c>
      <c r="C115" s="8">
        <v>2</v>
      </c>
      <c r="D115" s="8">
        <v>54</v>
      </c>
      <c r="E115" s="8">
        <v>44</v>
      </c>
      <c r="F115" s="8">
        <v>4.22</v>
      </c>
      <c r="G115" s="8">
        <v>48</v>
      </c>
      <c r="H115" s="8">
        <f t="shared" si="5"/>
        <v>81.48</v>
      </c>
      <c r="I115" s="8">
        <f t="shared" si="6"/>
        <v>1.0900000000000001</v>
      </c>
      <c r="J115" s="8">
        <f t="shared" si="7"/>
        <v>22</v>
      </c>
      <c r="K115" s="8">
        <f t="shared" si="8"/>
        <v>3.44</v>
      </c>
      <c r="L115" s="2" t="str">
        <f t="shared" si="9"/>
        <v>Solid Performer</v>
      </c>
    </row>
    <row r="116" spans="1:12" x14ac:dyDescent="0.3">
      <c r="A116" s="8" t="s">
        <v>132</v>
      </c>
      <c r="B116" s="8" t="s">
        <v>24</v>
      </c>
      <c r="C116" s="8">
        <v>3</v>
      </c>
      <c r="D116" s="8">
        <v>43</v>
      </c>
      <c r="E116" s="8">
        <v>37</v>
      </c>
      <c r="F116" s="8">
        <v>3.82</v>
      </c>
      <c r="G116" s="8">
        <v>40</v>
      </c>
      <c r="H116" s="8">
        <f t="shared" si="5"/>
        <v>86.05</v>
      </c>
      <c r="I116" s="8">
        <f t="shared" si="6"/>
        <v>1.08</v>
      </c>
      <c r="J116" s="8">
        <f t="shared" si="7"/>
        <v>12.33</v>
      </c>
      <c r="K116" s="8">
        <f t="shared" si="8"/>
        <v>3.29</v>
      </c>
      <c r="L116" s="2" t="str">
        <f t="shared" si="9"/>
        <v>Solid Performer</v>
      </c>
    </row>
    <row r="117" spans="1:12" x14ac:dyDescent="0.3">
      <c r="A117" s="8" t="s">
        <v>133</v>
      </c>
      <c r="B117" s="8" t="s">
        <v>14</v>
      </c>
      <c r="C117" s="8">
        <v>3</v>
      </c>
      <c r="D117" s="8">
        <v>35</v>
      </c>
      <c r="E117" s="8">
        <v>29</v>
      </c>
      <c r="F117" s="8">
        <v>4.45</v>
      </c>
      <c r="G117" s="8">
        <v>44</v>
      </c>
      <c r="H117" s="8">
        <f t="shared" si="5"/>
        <v>82.86</v>
      </c>
      <c r="I117" s="8">
        <f t="shared" si="6"/>
        <v>1.52</v>
      </c>
      <c r="J117" s="8">
        <f t="shared" si="7"/>
        <v>9.67</v>
      </c>
      <c r="K117" s="8">
        <f t="shared" si="8"/>
        <v>3.69</v>
      </c>
      <c r="L117" s="2" t="str">
        <f t="shared" si="9"/>
        <v>Solid Performer</v>
      </c>
    </row>
    <row r="118" spans="1:12" x14ac:dyDescent="0.3">
      <c r="A118" s="8" t="s">
        <v>134</v>
      </c>
      <c r="B118" s="8" t="s">
        <v>16</v>
      </c>
      <c r="C118" s="8">
        <v>3</v>
      </c>
      <c r="D118" s="8">
        <v>54</v>
      </c>
      <c r="E118" s="8">
        <v>43</v>
      </c>
      <c r="F118" s="8">
        <v>4.68</v>
      </c>
      <c r="G118" s="8">
        <v>51</v>
      </c>
      <c r="H118" s="8">
        <f t="shared" si="5"/>
        <v>79.63</v>
      </c>
      <c r="I118" s="8">
        <f t="shared" si="6"/>
        <v>1.19</v>
      </c>
      <c r="J118" s="8">
        <f t="shared" si="7"/>
        <v>14.33</v>
      </c>
      <c r="K118" s="8">
        <f t="shared" si="8"/>
        <v>3.73</v>
      </c>
      <c r="L118" s="2" t="str">
        <f t="shared" si="9"/>
        <v>Solid Performer</v>
      </c>
    </row>
    <row r="119" spans="1:12" x14ac:dyDescent="0.3">
      <c r="A119" s="8" t="s">
        <v>135</v>
      </c>
      <c r="B119" s="8" t="s">
        <v>16</v>
      </c>
      <c r="C119" s="8">
        <v>2</v>
      </c>
      <c r="D119" s="8">
        <v>46</v>
      </c>
      <c r="E119" s="8">
        <v>43</v>
      </c>
      <c r="F119" s="8">
        <v>3.72</v>
      </c>
      <c r="G119" s="8">
        <v>52</v>
      </c>
      <c r="H119" s="8">
        <f t="shared" si="5"/>
        <v>93.48</v>
      </c>
      <c r="I119" s="8">
        <f t="shared" si="6"/>
        <v>1.21</v>
      </c>
      <c r="J119" s="8">
        <f t="shared" si="7"/>
        <v>21.5</v>
      </c>
      <c r="K119" s="8">
        <f t="shared" si="8"/>
        <v>3.48</v>
      </c>
      <c r="L119" s="2" t="str">
        <f t="shared" si="9"/>
        <v>Solid Performer</v>
      </c>
    </row>
    <row r="120" spans="1:12" x14ac:dyDescent="0.3">
      <c r="A120" s="8" t="s">
        <v>136</v>
      </c>
      <c r="B120" s="8" t="s">
        <v>21</v>
      </c>
      <c r="C120" s="8">
        <v>3</v>
      </c>
      <c r="D120" s="8">
        <v>46</v>
      </c>
      <c r="E120" s="8">
        <v>33</v>
      </c>
      <c r="F120" s="8">
        <v>4.1900000000000004</v>
      </c>
      <c r="G120" s="8">
        <v>41</v>
      </c>
      <c r="H120" s="8">
        <f t="shared" si="5"/>
        <v>71.739999999999995</v>
      </c>
      <c r="I120" s="8">
        <f t="shared" si="6"/>
        <v>1.24</v>
      </c>
      <c r="J120" s="8">
        <f t="shared" si="7"/>
        <v>11</v>
      </c>
      <c r="K120" s="8">
        <f t="shared" si="8"/>
        <v>3.01</v>
      </c>
      <c r="L120" s="2" t="str">
        <f t="shared" si="9"/>
        <v>At Risk</v>
      </c>
    </row>
    <row r="121" spans="1:12" x14ac:dyDescent="0.3">
      <c r="A121" s="8" t="s">
        <v>137</v>
      </c>
      <c r="B121" s="8" t="s">
        <v>24</v>
      </c>
      <c r="C121" s="8">
        <v>4</v>
      </c>
      <c r="D121" s="8">
        <v>42</v>
      </c>
      <c r="E121" s="8">
        <v>29</v>
      </c>
      <c r="F121" s="8">
        <v>4.37</v>
      </c>
      <c r="G121" s="8">
        <v>37</v>
      </c>
      <c r="H121" s="8">
        <f t="shared" si="5"/>
        <v>69.05</v>
      </c>
      <c r="I121" s="8">
        <f t="shared" si="6"/>
        <v>1.28</v>
      </c>
      <c r="J121" s="8">
        <f t="shared" si="7"/>
        <v>7.25</v>
      </c>
      <c r="K121" s="8">
        <f t="shared" si="8"/>
        <v>3.02</v>
      </c>
      <c r="L121" s="2" t="str">
        <f t="shared" si="9"/>
        <v>At Risk</v>
      </c>
    </row>
    <row r="122" spans="1:12" x14ac:dyDescent="0.3">
      <c r="A122" s="8" t="s">
        <v>138</v>
      </c>
      <c r="B122" s="8" t="s">
        <v>21</v>
      </c>
      <c r="C122" s="8">
        <v>2</v>
      </c>
      <c r="D122" s="8">
        <v>52</v>
      </c>
      <c r="E122" s="8">
        <v>42</v>
      </c>
      <c r="F122" s="8">
        <v>4.0999999999999996</v>
      </c>
      <c r="G122" s="8">
        <v>47</v>
      </c>
      <c r="H122" s="8">
        <f t="shared" si="5"/>
        <v>80.77</v>
      </c>
      <c r="I122" s="8">
        <f t="shared" si="6"/>
        <v>1.1200000000000001</v>
      </c>
      <c r="J122" s="8">
        <f t="shared" si="7"/>
        <v>21</v>
      </c>
      <c r="K122" s="8">
        <f t="shared" si="8"/>
        <v>3.31</v>
      </c>
      <c r="L122" s="2" t="str">
        <f t="shared" si="9"/>
        <v>Solid Performer</v>
      </c>
    </row>
    <row r="123" spans="1:12" x14ac:dyDescent="0.3">
      <c r="A123" s="8" t="s">
        <v>139</v>
      </c>
      <c r="B123" s="8" t="s">
        <v>14</v>
      </c>
      <c r="C123" s="8">
        <v>3</v>
      </c>
      <c r="D123" s="8">
        <v>33</v>
      </c>
      <c r="E123" s="8">
        <v>24</v>
      </c>
      <c r="F123" s="8">
        <v>4.8499999999999996</v>
      </c>
      <c r="G123" s="8">
        <v>44</v>
      </c>
      <c r="H123" s="8">
        <f t="shared" si="5"/>
        <v>72.73</v>
      </c>
      <c r="I123" s="8">
        <f t="shared" si="6"/>
        <v>1.83</v>
      </c>
      <c r="J123" s="8">
        <f t="shared" si="7"/>
        <v>8</v>
      </c>
      <c r="K123" s="8">
        <f t="shared" si="8"/>
        <v>3.53</v>
      </c>
      <c r="L123" s="2" t="str">
        <f t="shared" si="9"/>
        <v>Solid Performer</v>
      </c>
    </row>
    <row r="124" spans="1:12" x14ac:dyDescent="0.3">
      <c r="A124" s="8" t="s">
        <v>140</v>
      </c>
      <c r="B124" s="8" t="s">
        <v>18</v>
      </c>
      <c r="C124" s="8">
        <v>4</v>
      </c>
      <c r="D124" s="8">
        <v>47</v>
      </c>
      <c r="E124" s="8">
        <v>39</v>
      </c>
      <c r="F124" s="8">
        <v>3.84</v>
      </c>
      <c r="G124" s="8">
        <v>54</v>
      </c>
      <c r="H124" s="8">
        <f t="shared" si="5"/>
        <v>82.98</v>
      </c>
      <c r="I124" s="8">
        <f t="shared" si="6"/>
        <v>1.38</v>
      </c>
      <c r="J124" s="8">
        <f t="shared" si="7"/>
        <v>9.75</v>
      </c>
      <c r="K124" s="8">
        <f t="shared" si="8"/>
        <v>3.19</v>
      </c>
      <c r="L124" s="2" t="str">
        <f t="shared" si="9"/>
        <v>At Risk</v>
      </c>
    </row>
    <row r="125" spans="1:12" x14ac:dyDescent="0.3">
      <c r="A125" s="8" t="s">
        <v>141</v>
      </c>
      <c r="B125" s="8" t="s">
        <v>24</v>
      </c>
      <c r="C125" s="8">
        <v>4</v>
      </c>
      <c r="D125" s="8">
        <v>39</v>
      </c>
      <c r="E125" s="8">
        <v>27</v>
      </c>
      <c r="F125" s="8">
        <v>3.63</v>
      </c>
      <c r="G125" s="8">
        <v>35</v>
      </c>
      <c r="H125" s="8">
        <f t="shared" si="5"/>
        <v>69.23</v>
      </c>
      <c r="I125" s="8">
        <f t="shared" si="6"/>
        <v>1.3</v>
      </c>
      <c r="J125" s="8">
        <f t="shared" si="7"/>
        <v>6.75</v>
      </c>
      <c r="K125" s="8">
        <f t="shared" si="8"/>
        <v>2.5099999999999998</v>
      </c>
      <c r="L125" s="2" t="str">
        <f t="shared" si="9"/>
        <v>At Risk</v>
      </c>
    </row>
    <row r="126" spans="1:12" x14ac:dyDescent="0.3">
      <c r="A126" s="8" t="s">
        <v>142</v>
      </c>
      <c r="B126" s="8" t="s">
        <v>24</v>
      </c>
      <c r="C126" s="8">
        <v>3</v>
      </c>
      <c r="D126" s="8">
        <v>41</v>
      </c>
      <c r="E126" s="8">
        <v>29</v>
      </c>
      <c r="F126" s="8">
        <v>4.05</v>
      </c>
      <c r="G126" s="8">
        <v>44</v>
      </c>
      <c r="H126" s="8">
        <f t="shared" si="5"/>
        <v>70.73</v>
      </c>
      <c r="I126" s="8">
        <f t="shared" si="6"/>
        <v>1.52</v>
      </c>
      <c r="J126" s="8">
        <f t="shared" si="7"/>
        <v>9.67</v>
      </c>
      <c r="K126" s="8">
        <f t="shared" si="8"/>
        <v>2.86</v>
      </c>
      <c r="L126" s="2" t="str">
        <f t="shared" si="9"/>
        <v>At Risk</v>
      </c>
    </row>
    <row r="127" spans="1:12" x14ac:dyDescent="0.3">
      <c r="A127" s="8" t="s">
        <v>143</v>
      </c>
      <c r="B127" s="8" t="s">
        <v>24</v>
      </c>
      <c r="C127" s="8">
        <v>3</v>
      </c>
      <c r="D127" s="8">
        <v>38</v>
      </c>
      <c r="E127" s="8">
        <v>25</v>
      </c>
      <c r="F127" s="8">
        <v>4.22</v>
      </c>
      <c r="G127" s="8">
        <v>40</v>
      </c>
      <c r="H127" s="8">
        <f t="shared" si="5"/>
        <v>65.790000000000006</v>
      </c>
      <c r="I127" s="8">
        <f t="shared" si="6"/>
        <v>1.6</v>
      </c>
      <c r="J127" s="8">
        <f t="shared" si="7"/>
        <v>8.33</v>
      </c>
      <c r="K127" s="8">
        <f t="shared" si="8"/>
        <v>2.78</v>
      </c>
      <c r="L127" s="2" t="str">
        <f t="shared" si="9"/>
        <v>At Risk</v>
      </c>
    </row>
    <row r="128" spans="1:12" x14ac:dyDescent="0.3">
      <c r="A128" s="8" t="s">
        <v>144</v>
      </c>
      <c r="B128" s="8" t="s">
        <v>18</v>
      </c>
      <c r="C128" s="8">
        <v>6</v>
      </c>
      <c r="D128" s="8">
        <v>45</v>
      </c>
      <c r="E128" s="8">
        <v>30</v>
      </c>
      <c r="F128" s="8">
        <v>3.92</v>
      </c>
      <c r="G128" s="8">
        <v>50</v>
      </c>
      <c r="H128" s="8">
        <f t="shared" si="5"/>
        <v>66.67</v>
      </c>
      <c r="I128" s="8">
        <f t="shared" si="6"/>
        <v>1.67</v>
      </c>
      <c r="J128" s="8">
        <f t="shared" si="7"/>
        <v>5</v>
      </c>
      <c r="K128" s="8">
        <f t="shared" si="8"/>
        <v>2.61</v>
      </c>
      <c r="L128" s="2" t="str">
        <f t="shared" si="9"/>
        <v>At Risk</v>
      </c>
    </row>
    <row r="129" spans="1:12" x14ac:dyDescent="0.3">
      <c r="A129" s="8" t="s">
        <v>145</v>
      </c>
      <c r="B129" s="8" t="s">
        <v>21</v>
      </c>
      <c r="C129" s="8">
        <v>2</v>
      </c>
      <c r="D129" s="8">
        <v>49</v>
      </c>
      <c r="E129" s="8">
        <v>34</v>
      </c>
      <c r="F129" s="8">
        <v>4.0599999999999996</v>
      </c>
      <c r="G129" s="8">
        <v>45</v>
      </c>
      <c r="H129" s="8">
        <f t="shared" si="5"/>
        <v>69.39</v>
      </c>
      <c r="I129" s="8">
        <f t="shared" si="6"/>
        <v>1.32</v>
      </c>
      <c r="J129" s="8">
        <f t="shared" si="7"/>
        <v>17</v>
      </c>
      <c r="K129" s="8">
        <f t="shared" si="8"/>
        <v>2.82</v>
      </c>
      <c r="L129" s="2" t="str">
        <f t="shared" si="9"/>
        <v>At Risk</v>
      </c>
    </row>
    <row r="130" spans="1:12" x14ac:dyDescent="0.3">
      <c r="A130" s="8" t="s">
        <v>146</v>
      </c>
      <c r="B130" s="8" t="s">
        <v>16</v>
      </c>
      <c r="C130" s="8">
        <v>3</v>
      </c>
      <c r="D130" s="8">
        <v>52</v>
      </c>
      <c r="E130" s="8">
        <v>42</v>
      </c>
      <c r="F130" s="8">
        <v>4.58</v>
      </c>
      <c r="G130" s="8">
        <v>54</v>
      </c>
      <c r="H130" s="8">
        <f t="shared" si="5"/>
        <v>80.77</v>
      </c>
      <c r="I130" s="8">
        <f t="shared" si="6"/>
        <v>1.29</v>
      </c>
      <c r="J130" s="8">
        <f t="shared" si="7"/>
        <v>14</v>
      </c>
      <c r="K130" s="8">
        <f t="shared" si="8"/>
        <v>3.7</v>
      </c>
      <c r="L130" s="2" t="str">
        <f t="shared" si="9"/>
        <v>Solid Performer</v>
      </c>
    </row>
    <row r="131" spans="1:12" x14ac:dyDescent="0.3">
      <c r="A131" s="8" t="s">
        <v>147</v>
      </c>
      <c r="B131" s="8" t="s">
        <v>18</v>
      </c>
      <c r="C131" s="8">
        <v>6</v>
      </c>
      <c r="D131" s="8">
        <v>36</v>
      </c>
      <c r="E131" s="8">
        <v>30</v>
      </c>
      <c r="F131" s="8">
        <v>4.7699999999999996</v>
      </c>
      <c r="G131" s="8">
        <v>51</v>
      </c>
      <c r="H131" s="8">
        <f t="shared" ref="H131:H194" si="10">ROUND(E131/D131*100,2)</f>
        <v>83.33</v>
      </c>
      <c r="I131" s="8">
        <f t="shared" ref="I131:I194" si="11">ROUND(G131/E131,2)</f>
        <v>1.7</v>
      </c>
      <c r="J131" s="8">
        <f t="shared" ref="J131:J194" si="12">ROUND(E131/C131,2)</f>
        <v>5</v>
      </c>
      <c r="K131" s="8">
        <f t="shared" ref="K131:K194" si="13">ROUND(F131*H131/100,2)</f>
        <v>3.97</v>
      </c>
      <c r="L131" s="2" t="str">
        <f t="shared" ref="L131:L194" si="14">IF(K131&gt;4,"Top Performer",IF(K131&gt;=3.2,"Solid Performer","At Risk"))</f>
        <v>Solid Performer</v>
      </c>
    </row>
    <row r="132" spans="1:12" x14ac:dyDescent="0.3">
      <c r="A132" s="8" t="s">
        <v>148</v>
      </c>
      <c r="B132" s="8" t="s">
        <v>16</v>
      </c>
      <c r="C132" s="8">
        <v>3</v>
      </c>
      <c r="D132" s="8">
        <v>32</v>
      </c>
      <c r="E132" s="8">
        <v>24</v>
      </c>
      <c r="F132" s="8">
        <v>3.66</v>
      </c>
      <c r="G132" s="8">
        <v>51</v>
      </c>
      <c r="H132" s="8">
        <f t="shared" si="10"/>
        <v>75</v>
      </c>
      <c r="I132" s="8">
        <f t="shared" si="11"/>
        <v>2.13</v>
      </c>
      <c r="J132" s="8">
        <f t="shared" si="12"/>
        <v>8</v>
      </c>
      <c r="K132" s="8">
        <f t="shared" si="13"/>
        <v>2.75</v>
      </c>
      <c r="L132" s="2" t="str">
        <f t="shared" si="14"/>
        <v>At Risk</v>
      </c>
    </row>
    <row r="133" spans="1:12" x14ac:dyDescent="0.3">
      <c r="A133" s="8" t="s">
        <v>149</v>
      </c>
      <c r="B133" s="8" t="s">
        <v>24</v>
      </c>
      <c r="C133" s="8">
        <v>4</v>
      </c>
      <c r="D133" s="8">
        <v>39</v>
      </c>
      <c r="E133" s="8">
        <v>31</v>
      </c>
      <c r="F133" s="8">
        <v>4.76</v>
      </c>
      <c r="G133" s="8">
        <v>40</v>
      </c>
      <c r="H133" s="8">
        <f t="shared" si="10"/>
        <v>79.489999999999995</v>
      </c>
      <c r="I133" s="8">
        <f t="shared" si="11"/>
        <v>1.29</v>
      </c>
      <c r="J133" s="8">
        <f t="shared" si="12"/>
        <v>7.75</v>
      </c>
      <c r="K133" s="8">
        <f t="shared" si="13"/>
        <v>3.78</v>
      </c>
      <c r="L133" s="2" t="str">
        <f t="shared" si="14"/>
        <v>Solid Performer</v>
      </c>
    </row>
    <row r="134" spans="1:12" x14ac:dyDescent="0.3">
      <c r="A134" s="8" t="s">
        <v>150</v>
      </c>
      <c r="B134" s="8" t="s">
        <v>16</v>
      </c>
      <c r="C134" s="8">
        <v>3</v>
      </c>
      <c r="D134" s="8">
        <v>41</v>
      </c>
      <c r="E134" s="8">
        <v>29</v>
      </c>
      <c r="F134" s="8">
        <v>4.01</v>
      </c>
      <c r="G134" s="8">
        <v>53</v>
      </c>
      <c r="H134" s="8">
        <f t="shared" si="10"/>
        <v>70.73</v>
      </c>
      <c r="I134" s="8">
        <f t="shared" si="11"/>
        <v>1.83</v>
      </c>
      <c r="J134" s="8">
        <f t="shared" si="12"/>
        <v>9.67</v>
      </c>
      <c r="K134" s="8">
        <f t="shared" si="13"/>
        <v>2.84</v>
      </c>
      <c r="L134" s="2" t="str">
        <f t="shared" si="14"/>
        <v>At Risk</v>
      </c>
    </row>
    <row r="135" spans="1:12" x14ac:dyDescent="0.3">
      <c r="A135" s="8" t="s">
        <v>151</v>
      </c>
      <c r="B135" s="8" t="s">
        <v>14</v>
      </c>
      <c r="C135" s="8">
        <v>3</v>
      </c>
      <c r="D135" s="8">
        <v>32</v>
      </c>
      <c r="E135" s="8">
        <v>27</v>
      </c>
      <c r="F135" s="8">
        <v>4.22</v>
      </c>
      <c r="G135" s="8">
        <v>45</v>
      </c>
      <c r="H135" s="8">
        <f t="shared" si="10"/>
        <v>84.38</v>
      </c>
      <c r="I135" s="8">
        <f t="shared" si="11"/>
        <v>1.67</v>
      </c>
      <c r="J135" s="8">
        <f t="shared" si="12"/>
        <v>9</v>
      </c>
      <c r="K135" s="8">
        <f t="shared" si="13"/>
        <v>3.56</v>
      </c>
      <c r="L135" s="2" t="str">
        <f t="shared" si="14"/>
        <v>Solid Performer</v>
      </c>
    </row>
    <row r="136" spans="1:12" x14ac:dyDescent="0.3">
      <c r="A136" s="8" t="s">
        <v>152</v>
      </c>
      <c r="B136" s="8" t="s">
        <v>16</v>
      </c>
      <c r="C136" s="8">
        <v>2</v>
      </c>
      <c r="D136" s="8">
        <v>37</v>
      </c>
      <c r="E136" s="8">
        <v>30</v>
      </c>
      <c r="F136" s="8">
        <v>4.3499999999999996</v>
      </c>
      <c r="G136" s="8">
        <v>54</v>
      </c>
      <c r="H136" s="8">
        <f t="shared" si="10"/>
        <v>81.08</v>
      </c>
      <c r="I136" s="8">
        <f t="shared" si="11"/>
        <v>1.8</v>
      </c>
      <c r="J136" s="8">
        <f t="shared" si="12"/>
        <v>15</v>
      </c>
      <c r="K136" s="8">
        <f t="shared" si="13"/>
        <v>3.53</v>
      </c>
      <c r="L136" s="2" t="str">
        <f t="shared" si="14"/>
        <v>Solid Performer</v>
      </c>
    </row>
    <row r="137" spans="1:12" x14ac:dyDescent="0.3">
      <c r="A137" s="8" t="s">
        <v>153</v>
      </c>
      <c r="B137" s="8" t="s">
        <v>21</v>
      </c>
      <c r="C137" s="8">
        <v>2</v>
      </c>
      <c r="D137" s="8">
        <v>35</v>
      </c>
      <c r="E137" s="8">
        <v>32</v>
      </c>
      <c r="F137" s="8">
        <v>4.41</v>
      </c>
      <c r="G137" s="8">
        <v>47</v>
      </c>
      <c r="H137" s="8">
        <f t="shared" si="10"/>
        <v>91.43</v>
      </c>
      <c r="I137" s="8">
        <f t="shared" si="11"/>
        <v>1.47</v>
      </c>
      <c r="J137" s="8">
        <f t="shared" si="12"/>
        <v>16</v>
      </c>
      <c r="K137" s="8">
        <f t="shared" si="13"/>
        <v>4.03</v>
      </c>
      <c r="L137" s="2" t="str">
        <f t="shared" si="14"/>
        <v>Top Performer</v>
      </c>
    </row>
    <row r="138" spans="1:12" x14ac:dyDescent="0.3">
      <c r="A138" s="8" t="s">
        <v>154</v>
      </c>
      <c r="B138" s="8" t="s">
        <v>18</v>
      </c>
      <c r="C138" s="8">
        <v>4</v>
      </c>
      <c r="D138" s="8">
        <v>35</v>
      </c>
      <c r="E138" s="8">
        <v>29</v>
      </c>
      <c r="F138" s="8">
        <v>3.86</v>
      </c>
      <c r="G138" s="8">
        <v>55</v>
      </c>
      <c r="H138" s="8">
        <f t="shared" si="10"/>
        <v>82.86</v>
      </c>
      <c r="I138" s="8">
        <f t="shared" si="11"/>
        <v>1.9</v>
      </c>
      <c r="J138" s="8">
        <f t="shared" si="12"/>
        <v>7.25</v>
      </c>
      <c r="K138" s="8">
        <f t="shared" si="13"/>
        <v>3.2</v>
      </c>
      <c r="L138" s="2" t="str">
        <f t="shared" si="14"/>
        <v>Solid Performer</v>
      </c>
    </row>
    <row r="139" spans="1:12" x14ac:dyDescent="0.3">
      <c r="A139" s="8" t="s">
        <v>155</v>
      </c>
      <c r="B139" s="8" t="s">
        <v>24</v>
      </c>
      <c r="C139" s="8">
        <v>4</v>
      </c>
      <c r="D139" s="8">
        <v>35</v>
      </c>
      <c r="E139" s="8">
        <v>25</v>
      </c>
      <c r="F139" s="8">
        <v>3.74</v>
      </c>
      <c r="G139" s="8">
        <v>42</v>
      </c>
      <c r="H139" s="8">
        <f t="shared" si="10"/>
        <v>71.430000000000007</v>
      </c>
      <c r="I139" s="8">
        <f t="shared" si="11"/>
        <v>1.68</v>
      </c>
      <c r="J139" s="8">
        <f t="shared" si="12"/>
        <v>6.25</v>
      </c>
      <c r="K139" s="8">
        <f t="shared" si="13"/>
        <v>2.67</v>
      </c>
      <c r="L139" s="2" t="str">
        <f t="shared" si="14"/>
        <v>At Risk</v>
      </c>
    </row>
    <row r="140" spans="1:12" x14ac:dyDescent="0.3">
      <c r="A140" s="8" t="s">
        <v>156</v>
      </c>
      <c r="B140" s="8" t="s">
        <v>21</v>
      </c>
      <c r="C140" s="8">
        <v>2</v>
      </c>
      <c r="D140" s="8">
        <v>32</v>
      </c>
      <c r="E140" s="8">
        <v>25</v>
      </c>
      <c r="F140" s="8">
        <v>4.12</v>
      </c>
      <c r="G140" s="8">
        <v>43</v>
      </c>
      <c r="H140" s="8">
        <f t="shared" si="10"/>
        <v>78.13</v>
      </c>
      <c r="I140" s="8">
        <f t="shared" si="11"/>
        <v>1.72</v>
      </c>
      <c r="J140" s="8">
        <f t="shared" si="12"/>
        <v>12.5</v>
      </c>
      <c r="K140" s="8">
        <f t="shared" si="13"/>
        <v>3.22</v>
      </c>
      <c r="L140" s="2" t="str">
        <f t="shared" si="14"/>
        <v>Solid Performer</v>
      </c>
    </row>
    <row r="141" spans="1:12" x14ac:dyDescent="0.3">
      <c r="A141" s="8" t="s">
        <v>157</v>
      </c>
      <c r="B141" s="8" t="s">
        <v>16</v>
      </c>
      <c r="C141" s="8">
        <v>3</v>
      </c>
      <c r="D141" s="8">
        <v>40</v>
      </c>
      <c r="E141" s="8">
        <v>36</v>
      </c>
      <c r="F141" s="8">
        <v>4.7300000000000004</v>
      </c>
      <c r="G141" s="8">
        <v>45</v>
      </c>
      <c r="H141" s="8">
        <f t="shared" si="10"/>
        <v>90</v>
      </c>
      <c r="I141" s="8">
        <f t="shared" si="11"/>
        <v>1.25</v>
      </c>
      <c r="J141" s="8">
        <f t="shared" si="12"/>
        <v>12</v>
      </c>
      <c r="K141" s="8">
        <f t="shared" si="13"/>
        <v>4.26</v>
      </c>
      <c r="L141" s="2" t="str">
        <f t="shared" si="14"/>
        <v>Top Performer</v>
      </c>
    </row>
    <row r="142" spans="1:12" x14ac:dyDescent="0.3">
      <c r="A142" s="8" t="s">
        <v>158</v>
      </c>
      <c r="B142" s="8" t="s">
        <v>18</v>
      </c>
      <c r="C142" s="8">
        <v>5</v>
      </c>
      <c r="D142" s="8">
        <v>54</v>
      </c>
      <c r="E142" s="8">
        <v>46</v>
      </c>
      <c r="F142" s="8">
        <v>4.3</v>
      </c>
      <c r="G142" s="8">
        <v>59</v>
      </c>
      <c r="H142" s="8">
        <f t="shared" si="10"/>
        <v>85.19</v>
      </c>
      <c r="I142" s="8">
        <f t="shared" si="11"/>
        <v>1.28</v>
      </c>
      <c r="J142" s="8">
        <f t="shared" si="12"/>
        <v>9.1999999999999993</v>
      </c>
      <c r="K142" s="8">
        <f t="shared" si="13"/>
        <v>3.66</v>
      </c>
      <c r="L142" s="2" t="str">
        <f t="shared" si="14"/>
        <v>Solid Performer</v>
      </c>
    </row>
    <row r="143" spans="1:12" x14ac:dyDescent="0.3">
      <c r="A143" s="8" t="s">
        <v>159</v>
      </c>
      <c r="B143" s="8" t="s">
        <v>18</v>
      </c>
      <c r="C143" s="8">
        <v>4</v>
      </c>
      <c r="D143" s="8">
        <v>41</v>
      </c>
      <c r="E143" s="8">
        <v>29</v>
      </c>
      <c r="F143" s="8">
        <v>4.95</v>
      </c>
      <c r="G143" s="8">
        <v>53</v>
      </c>
      <c r="H143" s="8">
        <f t="shared" si="10"/>
        <v>70.73</v>
      </c>
      <c r="I143" s="8">
        <f t="shared" si="11"/>
        <v>1.83</v>
      </c>
      <c r="J143" s="8">
        <f t="shared" si="12"/>
        <v>7.25</v>
      </c>
      <c r="K143" s="8">
        <f t="shared" si="13"/>
        <v>3.5</v>
      </c>
      <c r="L143" s="2" t="str">
        <f t="shared" si="14"/>
        <v>Solid Performer</v>
      </c>
    </row>
    <row r="144" spans="1:12" x14ac:dyDescent="0.3">
      <c r="A144" s="8" t="s">
        <v>160</v>
      </c>
      <c r="B144" s="8" t="s">
        <v>18</v>
      </c>
      <c r="C144" s="8">
        <v>4</v>
      </c>
      <c r="D144" s="8">
        <v>49</v>
      </c>
      <c r="E144" s="8">
        <v>35</v>
      </c>
      <c r="F144" s="8">
        <v>3.67</v>
      </c>
      <c r="G144" s="8">
        <v>59</v>
      </c>
      <c r="H144" s="8">
        <f t="shared" si="10"/>
        <v>71.430000000000007</v>
      </c>
      <c r="I144" s="8">
        <f t="shared" si="11"/>
        <v>1.69</v>
      </c>
      <c r="J144" s="8">
        <f t="shared" si="12"/>
        <v>8.75</v>
      </c>
      <c r="K144" s="8">
        <f t="shared" si="13"/>
        <v>2.62</v>
      </c>
      <c r="L144" s="2" t="str">
        <f t="shared" si="14"/>
        <v>At Risk</v>
      </c>
    </row>
    <row r="145" spans="1:12" x14ac:dyDescent="0.3">
      <c r="A145" s="8" t="s">
        <v>161</v>
      </c>
      <c r="B145" s="8" t="s">
        <v>24</v>
      </c>
      <c r="C145" s="8">
        <v>4</v>
      </c>
      <c r="D145" s="8">
        <v>40</v>
      </c>
      <c r="E145" s="8">
        <v>37</v>
      </c>
      <c r="F145" s="8">
        <v>3.98</v>
      </c>
      <c r="G145" s="8">
        <v>37</v>
      </c>
      <c r="H145" s="8">
        <f t="shared" si="10"/>
        <v>92.5</v>
      </c>
      <c r="I145" s="8">
        <f t="shared" si="11"/>
        <v>1</v>
      </c>
      <c r="J145" s="8">
        <f t="shared" si="12"/>
        <v>9.25</v>
      </c>
      <c r="K145" s="8">
        <f t="shared" si="13"/>
        <v>3.68</v>
      </c>
      <c r="L145" s="2" t="str">
        <f t="shared" si="14"/>
        <v>Solid Performer</v>
      </c>
    </row>
    <row r="146" spans="1:12" x14ac:dyDescent="0.3">
      <c r="A146" s="8" t="s">
        <v>162</v>
      </c>
      <c r="B146" s="8" t="s">
        <v>21</v>
      </c>
      <c r="C146" s="8">
        <v>3</v>
      </c>
      <c r="D146" s="8">
        <v>47</v>
      </c>
      <c r="E146" s="8">
        <v>36</v>
      </c>
      <c r="F146" s="8">
        <v>4.32</v>
      </c>
      <c r="G146" s="8">
        <v>49</v>
      </c>
      <c r="H146" s="8">
        <f t="shared" si="10"/>
        <v>76.599999999999994</v>
      </c>
      <c r="I146" s="8">
        <f t="shared" si="11"/>
        <v>1.36</v>
      </c>
      <c r="J146" s="8">
        <f t="shared" si="12"/>
        <v>12</v>
      </c>
      <c r="K146" s="8">
        <f t="shared" si="13"/>
        <v>3.31</v>
      </c>
      <c r="L146" s="2" t="str">
        <f t="shared" si="14"/>
        <v>Solid Performer</v>
      </c>
    </row>
    <row r="147" spans="1:12" x14ac:dyDescent="0.3">
      <c r="A147" s="8" t="s">
        <v>163</v>
      </c>
      <c r="B147" s="8" t="s">
        <v>14</v>
      </c>
      <c r="C147" s="8">
        <v>3</v>
      </c>
      <c r="D147" s="8">
        <v>42</v>
      </c>
      <c r="E147" s="8">
        <v>35</v>
      </c>
      <c r="F147" s="8">
        <v>3.63</v>
      </c>
      <c r="G147" s="8">
        <v>46</v>
      </c>
      <c r="H147" s="8">
        <f t="shared" si="10"/>
        <v>83.33</v>
      </c>
      <c r="I147" s="8">
        <f t="shared" si="11"/>
        <v>1.31</v>
      </c>
      <c r="J147" s="8">
        <f t="shared" si="12"/>
        <v>11.67</v>
      </c>
      <c r="K147" s="8">
        <f t="shared" si="13"/>
        <v>3.02</v>
      </c>
      <c r="L147" s="2" t="str">
        <f t="shared" si="14"/>
        <v>At Risk</v>
      </c>
    </row>
    <row r="148" spans="1:12" x14ac:dyDescent="0.3">
      <c r="A148" s="8" t="s">
        <v>164</v>
      </c>
      <c r="B148" s="8" t="s">
        <v>21</v>
      </c>
      <c r="C148" s="8">
        <v>2</v>
      </c>
      <c r="D148" s="8">
        <v>38</v>
      </c>
      <c r="E148" s="8">
        <v>31</v>
      </c>
      <c r="F148" s="8">
        <v>4.21</v>
      </c>
      <c r="G148" s="8">
        <v>46</v>
      </c>
      <c r="H148" s="8">
        <f t="shared" si="10"/>
        <v>81.58</v>
      </c>
      <c r="I148" s="8">
        <f t="shared" si="11"/>
        <v>1.48</v>
      </c>
      <c r="J148" s="8">
        <f t="shared" si="12"/>
        <v>15.5</v>
      </c>
      <c r="K148" s="8">
        <f t="shared" si="13"/>
        <v>3.43</v>
      </c>
      <c r="L148" s="2" t="str">
        <f t="shared" si="14"/>
        <v>Solid Performer</v>
      </c>
    </row>
    <row r="149" spans="1:12" x14ac:dyDescent="0.3">
      <c r="A149" s="8" t="s">
        <v>165</v>
      </c>
      <c r="B149" s="8" t="s">
        <v>18</v>
      </c>
      <c r="C149" s="8">
        <v>5</v>
      </c>
      <c r="D149" s="8">
        <v>46</v>
      </c>
      <c r="E149" s="8">
        <v>41</v>
      </c>
      <c r="F149" s="8">
        <v>4.62</v>
      </c>
      <c r="G149" s="8">
        <v>51</v>
      </c>
      <c r="H149" s="8">
        <f t="shared" si="10"/>
        <v>89.13</v>
      </c>
      <c r="I149" s="8">
        <f t="shared" si="11"/>
        <v>1.24</v>
      </c>
      <c r="J149" s="8">
        <f t="shared" si="12"/>
        <v>8.1999999999999993</v>
      </c>
      <c r="K149" s="8">
        <f t="shared" si="13"/>
        <v>4.12</v>
      </c>
      <c r="L149" s="2" t="str">
        <f t="shared" si="14"/>
        <v>Top Performer</v>
      </c>
    </row>
    <row r="150" spans="1:12" x14ac:dyDescent="0.3">
      <c r="A150" s="8" t="s">
        <v>166</v>
      </c>
      <c r="B150" s="8" t="s">
        <v>24</v>
      </c>
      <c r="C150" s="8">
        <v>4</v>
      </c>
      <c r="D150" s="8">
        <v>40</v>
      </c>
      <c r="E150" s="8">
        <v>37</v>
      </c>
      <c r="F150" s="8">
        <v>3.77</v>
      </c>
      <c r="G150" s="8">
        <v>37</v>
      </c>
      <c r="H150" s="8">
        <f t="shared" si="10"/>
        <v>92.5</v>
      </c>
      <c r="I150" s="8">
        <f t="shared" si="11"/>
        <v>1</v>
      </c>
      <c r="J150" s="8">
        <f t="shared" si="12"/>
        <v>9.25</v>
      </c>
      <c r="K150" s="8">
        <f t="shared" si="13"/>
        <v>3.49</v>
      </c>
      <c r="L150" s="2" t="str">
        <f t="shared" si="14"/>
        <v>Solid Performer</v>
      </c>
    </row>
    <row r="151" spans="1:12" x14ac:dyDescent="0.3">
      <c r="A151" s="8" t="s">
        <v>167</v>
      </c>
      <c r="B151" s="8" t="s">
        <v>21</v>
      </c>
      <c r="C151" s="8">
        <v>3</v>
      </c>
      <c r="D151" s="8">
        <v>51</v>
      </c>
      <c r="E151" s="8">
        <v>33</v>
      </c>
      <c r="F151" s="8">
        <v>4.67</v>
      </c>
      <c r="G151" s="8">
        <v>48</v>
      </c>
      <c r="H151" s="8">
        <f t="shared" si="10"/>
        <v>64.709999999999994</v>
      </c>
      <c r="I151" s="8">
        <f t="shared" si="11"/>
        <v>1.45</v>
      </c>
      <c r="J151" s="8">
        <f t="shared" si="12"/>
        <v>11</v>
      </c>
      <c r="K151" s="8">
        <f t="shared" si="13"/>
        <v>3.02</v>
      </c>
      <c r="L151" s="2" t="str">
        <f t="shared" si="14"/>
        <v>At Risk</v>
      </c>
    </row>
    <row r="152" spans="1:12" x14ac:dyDescent="0.3">
      <c r="A152" s="8" t="s">
        <v>168</v>
      </c>
      <c r="B152" s="8" t="s">
        <v>24</v>
      </c>
      <c r="C152" s="8">
        <v>4</v>
      </c>
      <c r="D152" s="8">
        <v>32</v>
      </c>
      <c r="E152" s="8">
        <v>22</v>
      </c>
      <c r="F152" s="8">
        <v>4.72</v>
      </c>
      <c r="G152" s="8">
        <v>44</v>
      </c>
      <c r="H152" s="8">
        <f t="shared" si="10"/>
        <v>68.75</v>
      </c>
      <c r="I152" s="8">
        <f t="shared" si="11"/>
        <v>2</v>
      </c>
      <c r="J152" s="8">
        <f t="shared" si="12"/>
        <v>5.5</v>
      </c>
      <c r="K152" s="8">
        <f t="shared" si="13"/>
        <v>3.25</v>
      </c>
      <c r="L152" s="2" t="str">
        <f t="shared" si="14"/>
        <v>Solid Performer</v>
      </c>
    </row>
    <row r="153" spans="1:12" x14ac:dyDescent="0.3">
      <c r="A153" s="8" t="s">
        <v>169</v>
      </c>
      <c r="B153" s="8" t="s">
        <v>14</v>
      </c>
      <c r="C153" s="8">
        <v>2</v>
      </c>
      <c r="D153" s="8">
        <v>42</v>
      </c>
      <c r="E153" s="8">
        <v>34</v>
      </c>
      <c r="F153" s="8">
        <v>4.5199999999999996</v>
      </c>
      <c r="G153" s="8">
        <v>49</v>
      </c>
      <c r="H153" s="8">
        <f t="shared" si="10"/>
        <v>80.95</v>
      </c>
      <c r="I153" s="8">
        <f t="shared" si="11"/>
        <v>1.44</v>
      </c>
      <c r="J153" s="8">
        <f t="shared" si="12"/>
        <v>17</v>
      </c>
      <c r="K153" s="8">
        <f t="shared" si="13"/>
        <v>3.66</v>
      </c>
      <c r="L153" s="2" t="str">
        <f t="shared" si="14"/>
        <v>Solid Performer</v>
      </c>
    </row>
    <row r="154" spans="1:12" x14ac:dyDescent="0.3">
      <c r="A154" s="8" t="s">
        <v>170</v>
      </c>
      <c r="B154" s="8" t="s">
        <v>18</v>
      </c>
      <c r="C154" s="8">
        <v>4</v>
      </c>
      <c r="D154" s="8">
        <v>35</v>
      </c>
      <c r="E154" s="8">
        <v>28</v>
      </c>
      <c r="F154" s="8">
        <v>4.16</v>
      </c>
      <c r="G154" s="8">
        <v>50</v>
      </c>
      <c r="H154" s="8">
        <f t="shared" si="10"/>
        <v>80</v>
      </c>
      <c r="I154" s="8">
        <f t="shared" si="11"/>
        <v>1.79</v>
      </c>
      <c r="J154" s="8">
        <f t="shared" si="12"/>
        <v>7</v>
      </c>
      <c r="K154" s="8">
        <f t="shared" si="13"/>
        <v>3.33</v>
      </c>
      <c r="L154" s="2" t="str">
        <f t="shared" si="14"/>
        <v>Solid Performer</v>
      </c>
    </row>
    <row r="155" spans="1:12" x14ac:dyDescent="0.3">
      <c r="A155" s="8" t="s">
        <v>171</v>
      </c>
      <c r="B155" s="8" t="s">
        <v>21</v>
      </c>
      <c r="C155" s="8">
        <v>2</v>
      </c>
      <c r="D155" s="8">
        <v>30</v>
      </c>
      <c r="E155" s="8">
        <v>23</v>
      </c>
      <c r="F155" s="8">
        <v>4.3</v>
      </c>
      <c r="G155" s="8">
        <v>44</v>
      </c>
      <c r="H155" s="8">
        <f t="shared" si="10"/>
        <v>76.67</v>
      </c>
      <c r="I155" s="8">
        <f t="shared" si="11"/>
        <v>1.91</v>
      </c>
      <c r="J155" s="8">
        <f t="shared" si="12"/>
        <v>11.5</v>
      </c>
      <c r="K155" s="8">
        <f t="shared" si="13"/>
        <v>3.3</v>
      </c>
      <c r="L155" s="2" t="str">
        <f t="shared" si="14"/>
        <v>Solid Performer</v>
      </c>
    </row>
    <row r="156" spans="1:12" x14ac:dyDescent="0.3">
      <c r="A156" s="8" t="s">
        <v>172</v>
      </c>
      <c r="B156" s="8" t="s">
        <v>18</v>
      </c>
      <c r="C156" s="8">
        <v>6</v>
      </c>
      <c r="D156" s="8">
        <v>48</v>
      </c>
      <c r="E156" s="8">
        <v>37</v>
      </c>
      <c r="F156" s="8">
        <v>4</v>
      </c>
      <c r="G156" s="8">
        <v>52</v>
      </c>
      <c r="H156" s="8">
        <f t="shared" si="10"/>
        <v>77.08</v>
      </c>
      <c r="I156" s="8">
        <f t="shared" si="11"/>
        <v>1.41</v>
      </c>
      <c r="J156" s="8">
        <f t="shared" si="12"/>
        <v>6.17</v>
      </c>
      <c r="K156" s="8">
        <f t="shared" si="13"/>
        <v>3.08</v>
      </c>
      <c r="L156" s="2" t="str">
        <f t="shared" si="14"/>
        <v>At Risk</v>
      </c>
    </row>
    <row r="157" spans="1:12" x14ac:dyDescent="0.3">
      <c r="A157" s="8" t="s">
        <v>173</v>
      </c>
      <c r="B157" s="8" t="s">
        <v>16</v>
      </c>
      <c r="C157" s="8">
        <v>3</v>
      </c>
      <c r="D157" s="8">
        <v>49</v>
      </c>
      <c r="E157" s="8">
        <v>43</v>
      </c>
      <c r="F157" s="8">
        <v>4.43</v>
      </c>
      <c r="G157" s="8">
        <v>48</v>
      </c>
      <c r="H157" s="8">
        <f t="shared" si="10"/>
        <v>87.76</v>
      </c>
      <c r="I157" s="8">
        <f t="shared" si="11"/>
        <v>1.1200000000000001</v>
      </c>
      <c r="J157" s="8">
        <f t="shared" si="12"/>
        <v>14.33</v>
      </c>
      <c r="K157" s="8">
        <f t="shared" si="13"/>
        <v>3.89</v>
      </c>
      <c r="L157" s="2" t="str">
        <f t="shared" si="14"/>
        <v>Solid Performer</v>
      </c>
    </row>
    <row r="158" spans="1:12" x14ac:dyDescent="0.3">
      <c r="A158" s="8" t="s">
        <v>174</v>
      </c>
      <c r="B158" s="8" t="s">
        <v>18</v>
      </c>
      <c r="C158" s="8">
        <v>4</v>
      </c>
      <c r="D158" s="8">
        <v>35</v>
      </c>
      <c r="E158" s="8">
        <v>30</v>
      </c>
      <c r="F158" s="8">
        <v>4.5599999999999996</v>
      </c>
      <c r="G158" s="8">
        <v>56</v>
      </c>
      <c r="H158" s="8">
        <f t="shared" si="10"/>
        <v>85.71</v>
      </c>
      <c r="I158" s="8">
        <f t="shared" si="11"/>
        <v>1.87</v>
      </c>
      <c r="J158" s="8">
        <f t="shared" si="12"/>
        <v>7.5</v>
      </c>
      <c r="K158" s="8">
        <f t="shared" si="13"/>
        <v>3.91</v>
      </c>
      <c r="L158" s="2" t="str">
        <f t="shared" si="14"/>
        <v>Solid Performer</v>
      </c>
    </row>
    <row r="159" spans="1:12" x14ac:dyDescent="0.3">
      <c r="A159" s="8" t="s">
        <v>175</v>
      </c>
      <c r="B159" s="8" t="s">
        <v>21</v>
      </c>
      <c r="C159" s="8">
        <v>3</v>
      </c>
      <c r="D159" s="8">
        <v>33</v>
      </c>
      <c r="E159" s="8">
        <v>27</v>
      </c>
      <c r="F159" s="8">
        <v>4.6399999999999997</v>
      </c>
      <c r="G159" s="8">
        <v>49</v>
      </c>
      <c r="H159" s="8">
        <f t="shared" si="10"/>
        <v>81.819999999999993</v>
      </c>
      <c r="I159" s="8">
        <f t="shared" si="11"/>
        <v>1.81</v>
      </c>
      <c r="J159" s="8">
        <f t="shared" si="12"/>
        <v>9</v>
      </c>
      <c r="K159" s="8">
        <f t="shared" si="13"/>
        <v>3.8</v>
      </c>
      <c r="L159" s="2" t="str">
        <f t="shared" si="14"/>
        <v>Solid Performer</v>
      </c>
    </row>
    <row r="160" spans="1:12" x14ac:dyDescent="0.3">
      <c r="A160" s="8" t="s">
        <v>176</v>
      </c>
      <c r="B160" s="8" t="s">
        <v>21</v>
      </c>
      <c r="C160" s="8">
        <v>3</v>
      </c>
      <c r="D160" s="8">
        <v>35</v>
      </c>
      <c r="E160" s="8">
        <v>28</v>
      </c>
      <c r="F160" s="8">
        <v>4.07</v>
      </c>
      <c r="G160" s="8">
        <v>47</v>
      </c>
      <c r="H160" s="8">
        <f t="shared" si="10"/>
        <v>80</v>
      </c>
      <c r="I160" s="8">
        <f t="shared" si="11"/>
        <v>1.68</v>
      </c>
      <c r="J160" s="8">
        <f t="shared" si="12"/>
        <v>9.33</v>
      </c>
      <c r="K160" s="8">
        <f t="shared" si="13"/>
        <v>3.26</v>
      </c>
      <c r="L160" s="2" t="str">
        <f t="shared" si="14"/>
        <v>Solid Performer</v>
      </c>
    </row>
    <row r="161" spans="1:12" x14ac:dyDescent="0.3">
      <c r="A161" s="8" t="s">
        <v>177</v>
      </c>
      <c r="B161" s="8" t="s">
        <v>14</v>
      </c>
      <c r="C161" s="8">
        <v>3</v>
      </c>
      <c r="D161" s="8">
        <v>44</v>
      </c>
      <c r="E161" s="8">
        <v>39</v>
      </c>
      <c r="F161" s="8">
        <v>3.72</v>
      </c>
      <c r="G161" s="8">
        <v>45</v>
      </c>
      <c r="H161" s="8">
        <f t="shared" si="10"/>
        <v>88.64</v>
      </c>
      <c r="I161" s="8">
        <f t="shared" si="11"/>
        <v>1.1499999999999999</v>
      </c>
      <c r="J161" s="8">
        <f t="shared" si="12"/>
        <v>13</v>
      </c>
      <c r="K161" s="8">
        <f t="shared" si="13"/>
        <v>3.3</v>
      </c>
      <c r="L161" s="2" t="str">
        <f t="shared" si="14"/>
        <v>Solid Performer</v>
      </c>
    </row>
    <row r="162" spans="1:12" x14ac:dyDescent="0.3">
      <c r="A162" s="8" t="s">
        <v>178</v>
      </c>
      <c r="B162" s="8" t="s">
        <v>14</v>
      </c>
      <c r="C162" s="8">
        <v>2</v>
      </c>
      <c r="D162" s="8">
        <v>31</v>
      </c>
      <c r="E162" s="8">
        <v>20</v>
      </c>
      <c r="F162" s="8">
        <v>4.4000000000000004</v>
      </c>
      <c r="G162" s="8">
        <v>45</v>
      </c>
      <c r="H162" s="8">
        <f t="shared" si="10"/>
        <v>64.52</v>
      </c>
      <c r="I162" s="8">
        <f t="shared" si="11"/>
        <v>2.25</v>
      </c>
      <c r="J162" s="8">
        <f t="shared" si="12"/>
        <v>10</v>
      </c>
      <c r="K162" s="8">
        <f t="shared" si="13"/>
        <v>2.84</v>
      </c>
      <c r="L162" s="2" t="str">
        <f t="shared" si="14"/>
        <v>At Risk</v>
      </c>
    </row>
    <row r="163" spans="1:12" x14ac:dyDescent="0.3">
      <c r="A163" s="8" t="s">
        <v>179</v>
      </c>
      <c r="B163" s="8" t="s">
        <v>14</v>
      </c>
      <c r="C163" s="8">
        <v>3</v>
      </c>
      <c r="D163" s="8">
        <v>40</v>
      </c>
      <c r="E163" s="8">
        <v>33</v>
      </c>
      <c r="F163" s="8">
        <v>4.74</v>
      </c>
      <c r="G163" s="8">
        <v>51</v>
      </c>
      <c r="H163" s="8">
        <f t="shared" si="10"/>
        <v>82.5</v>
      </c>
      <c r="I163" s="8">
        <f t="shared" si="11"/>
        <v>1.55</v>
      </c>
      <c r="J163" s="8">
        <f t="shared" si="12"/>
        <v>11</v>
      </c>
      <c r="K163" s="8">
        <f t="shared" si="13"/>
        <v>3.91</v>
      </c>
      <c r="L163" s="2" t="str">
        <f t="shared" si="14"/>
        <v>Solid Performer</v>
      </c>
    </row>
    <row r="164" spans="1:12" x14ac:dyDescent="0.3">
      <c r="A164" s="8" t="s">
        <v>180</v>
      </c>
      <c r="B164" s="8" t="s">
        <v>16</v>
      </c>
      <c r="C164" s="8">
        <v>3</v>
      </c>
      <c r="D164" s="8">
        <v>40</v>
      </c>
      <c r="E164" s="8">
        <v>27</v>
      </c>
      <c r="F164" s="8">
        <v>4.38</v>
      </c>
      <c r="G164" s="8">
        <v>46</v>
      </c>
      <c r="H164" s="8">
        <f t="shared" si="10"/>
        <v>67.5</v>
      </c>
      <c r="I164" s="8">
        <f t="shared" si="11"/>
        <v>1.7</v>
      </c>
      <c r="J164" s="8">
        <f t="shared" si="12"/>
        <v>9</v>
      </c>
      <c r="K164" s="8">
        <f t="shared" si="13"/>
        <v>2.96</v>
      </c>
      <c r="L164" s="2" t="str">
        <f t="shared" si="14"/>
        <v>At Risk</v>
      </c>
    </row>
    <row r="165" spans="1:12" x14ac:dyDescent="0.3">
      <c r="A165" s="8" t="s">
        <v>181</v>
      </c>
      <c r="B165" s="8" t="s">
        <v>21</v>
      </c>
      <c r="C165" s="8">
        <v>2</v>
      </c>
      <c r="D165" s="8">
        <v>44</v>
      </c>
      <c r="E165" s="8">
        <v>38</v>
      </c>
      <c r="F165" s="8">
        <v>4.3899999999999997</v>
      </c>
      <c r="G165" s="8">
        <v>43</v>
      </c>
      <c r="H165" s="8">
        <f t="shared" si="10"/>
        <v>86.36</v>
      </c>
      <c r="I165" s="8">
        <f t="shared" si="11"/>
        <v>1.1299999999999999</v>
      </c>
      <c r="J165" s="8">
        <f t="shared" si="12"/>
        <v>19</v>
      </c>
      <c r="K165" s="8">
        <f t="shared" si="13"/>
        <v>3.79</v>
      </c>
      <c r="L165" s="2" t="str">
        <f t="shared" si="14"/>
        <v>Solid Performer</v>
      </c>
    </row>
    <row r="166" spans="1:12" x14ac:dyDescent="0.3">
      <c r="A166" s="8" t="s">
        <v>182</v>
      </c>
      <c r="B166" s="8" t="s">
        <v>14</v>
      </c>
      <c r="C166" s="8">
        <v>2</v>
      </c>
      <c r="D166" s="8">
        <v>53</v>
      </c>
      <c r="E166" s="8">
        <v>34</v>
      </c>
      <c r="F166" s="8">
        <v>4.4800000000000004</v>
      </c>
      <c r="G166" s="8">
        <v>42</v>
      </c>
      <c r="H166" s="8">
        <f t="shared" si="10"/>
        <v>64.150000000000006</v>
      </c>
      <c r="I166" s="8">
        <f t="shared" si="11"/>
        <v>1.24</v>
      </c>
      <c r="J166" s="8">
        <f t="shared" si="12"/>
        <v>17</v>
      </c>
      <c r="K166" s="8">
        <f t="shared" si="13"/>
        <v>2.87</v>
      </c>
      <c r="L166" s="2" t="str">
        <f t="shared" si="14"/>
        <v>At Risk</v>
      </c>
    </row>
    <row r="167" spans="1:12" x14ac:dyDescent="0.3">
      <c r="A167" s="8" t="s">
        <v>183</v>
      </c>
      <c r="B167" s="8" t="s">
        <v>14</v>
      </c>
      <c r="C167" s="8">
        <v>2</v>
      </c>
      <c r="D167" s="8">
        <v>38</v>
      </c>
      <c r="E167" s="8">
        <v>29</v>
      </c>
      <c r="F167" s="8">
        <v>4.5999999999999996</v>
      </c>
      <c r="G167" s="8">
        <v>49</v>
      </c>
      <c r="H167" s="8">
        <f t="shared" si="10"/>
        <v>76.319999999999993</v>
      </c>
      <c r="I167" s="8">
        <f t="shared" si="11"/>
        <v>1.69</v>
      </c>
      <c r="J167" s="8">
        <f t="shared" si="12"/>
        <v>14.5</v>
      </c>
      <c r="K167" s="8">
        <f t="shared" si="13"/>
        <v>3.51</v>
      </c>
      <c r="L167" s="2" t="str">
        <f t="shared" si="14"/>
        <v>Solid Performer</v>
      </c>
    </row>
    <row r="168" spans="1:12" x14ac:dyDescent="0.3">
      <c r="A168" s="8" t="s">
        <v>184</v>
      </c>
      <c r="B168" s="8" t="s">
        <v>21</v>
      </c>
      <c r="C168" s="8">
        <v>3</v>
      </c>
      <c r="D168" s="8">
        <v>40</v>
      </c>
      <c r="E168" s="8">
        <v>31</v>
      </c>
      <c r="F168" s="8">
        <v>3.67</v>
      </c>
      <c r="G168" s="8">
        <v>44</v>
      </c>
      <c r="H168" s="8">
        <f t="shared" si="10"/>
        <v>77.5</v>
      </c>
      <c r="I168" s="8">
        <f t="shared" si="11"/>
        <v>1.42</v>
      </c>
      <c r="J168" s="8">
        <f t="shared" si="12"/>
        <v>10.33</v>
      </c>
      <c r="K168" s="8">
        <f t="shared" si="13"/>
        <v>2.84</v>
      </c>
      <c r="L168" s="2" t="str">
        <f t="shared" si="14"/>
        <v>At Risk</v>
      </c>
    </row>
    <row r="169" spans="1:12" x14ac:dyDescent="0.3">
      <c r="A169" s="8" t="s">
        <v>185</v>
      </c>
      <c r="B169" s="8" t="s">
        <v>16</v>
      </c>
      <c r="C169" s="8">
        <v>3</v>
      </c>
      <c r="D169" s="8">
        <v>33</v>
      </c>
      <c r="E169" s="8">
        <v>22</v>
      </c>
      <c r="F169" s="8">
        <v>4.88</v>
      </c>
      <c r="G169" s="8">
        <v>50</v>
      </c>
      <c r="H169" s="8">
        <f t="shared" si="10"/>
        <v>66.67</v>
      </c>
      <c r="I169" s="8">
        <f t="shared" si="11"/>
        <v>2.27</v>
      </c>
      <c r="J169" s="8">
        <f t="shared" si="12"/>
        <v>7.33</v>
      </c>
      <c r="K169" s="8">
        <f t="shared" si="13"/>
        <v>3.25</v>
      </c>
      <c r="L169" s="2" t="str">
        <f t="shared" si="14"/>
        <v>Solid Performer</v>
      </c>
    </row>
    <row r="170" spans="1:12" x14ac:dyDescent="0.3">
      <c r="A170" s="8" t="s">
        <v>186</v>
      </c>
      <c r="B170" s="8" t="s">
        <v>18</v>
      </c>
      <c r="C170" s="8">
        <v>6</v>
      </c>
      <c r="D170" s="8">
        <v>50</v>
      </c>
      <c r="E170" s="8">
        <v>38</v>
      </c>
      <c r="F170" s="8">
        <v>4.62</v>
      </c>
      <c r="G170" s="8">
        <v>59</v>
      </c>
      <c r="H170" s="8">
        <f t="shared" si="10"/>
        <v>76</v>
      </c>
      <c r="I170" s="8">
        <f t="shared" si="11"/>
        <v>1.55</v>
      </c>
      <c r="J170" s="8">
        <f t="shared" si="12"/>
        <v>6.33</v>
      </c>
      <c r="K170" s="8">
        <f t="shared" si="13"/>
        <v>3.51</v>
      </c>
      <c r="L170" s="2" t="str">
        <f t="shared" si="14"/>
        <v>Solid Performer</v>
      </c>
    </row>
    <row r="171" spans="1:12" x14ac:dyDescent="0.3">
      <c r="A171" s="8" t="s">
        <v>187</v>
      </c>
      <c r="B171" s="8" t="s">
        <v>14</v>
      </c>
      <c r="C171" s="8">
        <v>2</v>
      </c>
      <c r="D171" s="8">
        <v>50</v>
      </c>
      <c r="E171" s="8">
        <v>41</v>
      </c>
      <c r="F171" s="8">
        <v>3.67</v>
      </c>
      <c r="G171" s="8">
        <v>45</v>
      </c>
      <c r="H171" s="8">
        <f t="shared" si="10"/>
        <v>82</v>
      </c>
      <c r="I171" s="8">
        <f t="shared" si="11"/>
        <v>1.1000000000000001</v>
      </c>
      <c r="J171" s="8">
        <f t="shared" si="12"/>
        <v>20.5</v>
      </c>
      <c r="K171" s="8">
        <f t="shared" si="13"/>
        <v>3.01</v>
      </c>
      <c r="L171" s="2" t="str">
        <f t="shared" si="14"/>
        <v>At Risk</v>
      </c>
    </row>
    <row r="172" spans="1:12" x14ac:dyDescent="0.3">
      <c r="A172" s="8" t="s">
        <v>188</v>
      </c>
      <c r="B172" s="8" t="s">
        <v>21</v>
      </c>
      <c r="C172" s="8">
        <v>3</v>
      </c>
      <c r="D172" s="8">
        <v>40</v>
      </c>
      <c r="E172" s="8">
        <v>37</v>
      </c>
      <c r="F172" s="8">
        <v>4.2</v>
      </c>
      <c r="G172" s="8">
        <v>41</v>
      </c>
      <c r="H172" s="8">
        <f t="shared" si="10"/>
        <v>92.5</v>
      </c>
      <c r="I172" s="8">
        <f t="shared" si="11"/>
        <v>1.1100000000000001</v>
      </c>
      <c r="J172" s="8">
        <f t="shared" si="12"/>
        <v>12.33</v>
      </c>
      <c r="K172" s="8">
        <f t="shared" si="13"/>
        <v>3.89</v>
      </c>
      <c r="L172" s="2" t="str">
        <f t="shared" si="14"/>
        <v>Solid Performer</v>
      </c>
    </row>
    <row r="173" spans="1:12" x14ac:dyDescent="0.3">
      <c r="A173" s="8" t="s">
        <v>189</v>
      </c>
      <c r="B173" s="8" t="s">
        <v>18</v>
      </c>
      <c r="C173" s="8">
        <v>4</v>
      </c>
      <c r="D173" s="8">
        <v>40</v>
      </c>
      <c r="E173" s="8">
        <v>26</v>
      </c>
      <c r="F173" s="8">
        <v>4.87</v>
      </c>
      <c r="G173" s="8">
        <v>55</v>
      </c>
      <c r="H173" s="8">
        <f t="shared" si="10"/>
        <v>65</v>
      </c>
      <c r="I173" s="8">
        <f t="shared" si="11"/>
        <v>2.12</v>
      </c>
      <c r="J173" s="8">
        <f t="shared" si="12"/>
        <v>6.5</v>
      </c>
      <c r="K173" s="8">
        <f t="shared" si="13"/>
        <v>3.17</v>
      </c>
      <c r="L173" s="2" t="str">
        <f t="shared" si="14"/>
        <v>At Risk</v>
      </c>
    </row>
    <row r="174" spans="1:12" x14ac:dyDescent="0.3">
      <c r="A174" s="8" t="s">
        <v>190</v>
      </c>
      <c r="B174" s="8" t="s">
        <v>21</v>
      </c>
      <c r="C174" s="8">
        <v>2</v>
      </c>
      <c r="D174" s="8">
        <v>49</v>
      </c>
      <c r="E174" s="8">
        <v>38</v>
      </c>
      <c r="F174" s="8">
        <v>4.87</v>
      </c>
      <c r="G174" s="8">
        <v>40</v>
      </c>
      <c r="H174" s="8">
        <f t="shared" si="10"/>
        <v>77.55</v>
      </c>
      <c r="I174" s="8">
        <f t="shared" si="11"/>
        <v>1.05</v>
      </c>
      <c r="J174" s="8">
        <f t="shared" si="12"/>
        <v>19</v>
      </c>
      <c r="K174" s="8">
        <f t="shared" si="13"/>
        <v>3.78</v>
      </c>
      <c r="L174" s="2" t="str">
        <f t="shared" si="14"/>
        <v>Solid Performer</v>
      </c>
    </row>
    <row r="175" spans="1:12" x14ac:dyDescent="0.3">
      <c r="A175" s="8" t="s">
        <v>191</v>
      </c>
      <c r="B175" s="8" t="s">
        <v>24</v>
      </c>
      <c r="C175" s="8">
        <v>3</v>
      </c>
      <c r="D175" s="8">
        <v>40</v>
      </c>
      <c r="E175" s="8">
        <v>33</v>
      </c>
      <c r="F175" s="8">
        <v>3.52</v>
      </c>
      <c r="G175" s="8">
        <v>39</v>
      </c>
      <c r="H175" s="8">
        <f t="shared" si="10"/>
        <v>82.5</v>
      </c>
      <c r="I175" s="8">
        <f t="shared" si="11"/>
        <v>1.18</v>
      </c>
      <c r="J175" s="8">
        <f t="shared" si="12"/>
        <v>11</v>
      </c>
      <c r="K175" s="8">
        <f t="shared" si="13"/>
        <v>2.9</v>
      </c>
      <c r="L175" s="2" t="str">
        <f t="shared" si="14"/>
        <v>At Risk</v>
      </c>
    </row>
    <row r="176" spans="1:12" x14ac:dyDescent="0.3">
      <c r="A176" s="8" t="s">
        <v>192</v>
      </c>
      <c r="B176" s="8" t="s">
        <v>21</v>
      </c>
      <c r="C176" s="8">
        <v>2</v>
      </c>
      <c r="D176" s="8">
        <v>46</v>
      </c>
      <c r="E176" s="8">
        <v>43</v>
      </c>
      <c r="F176" s="8">
        <v>3.72</v>
      </c>
      <c r="G176" s="8">
        <v>45</v>
      </c>
      <c r="H176" s="8">
        <f t="shared" si="10"/>
        <v>93.48</v>
      </c>
      <c r="I176" s="8">
        <f t="shared" si="11"/>
        <v>1.05</v>
      </c>
      <c r="J176" s="8">
        <f t="shared" si="12"/>
        <v>21.5</v>
      </c>
      <c r="K176" s="8">
        <f t="shared" si="13"/>
        <v>3.48</v>
      </c>
      <c r="L176" s="2" t="str">
        <f t="shared" si="14"/>
        <v>Solid Performer</v>
      </c>
    </row>
    <row r="177" spans="1:12" x14ac:dyDescent="0.3">
      <c r="A177" s="8" t="s">
        <v>193</v>
      </c>
      <c r="B177" s="8" t="s">
        <v>14</v>
      </c>
      <c r="C177" s="8">
        <v>2</v>
      </c>
      <c r="D177" s="8">
        <v>37</v>
      </c>
      <c r="E177" s="8">
        <v>29</v>
      </c>
      <c r="F177" s="8">
        <v>4.3899999999999997</v>
      </c>
      <c r="G177" s="8">
        <v>48</v>
      </c>
      <c r="H177" s="8">
        <f t="shared" si="10"/>
        <v>78.38</v>
      </c>
      <c r="I177" s="8">
        <f t="shared" si="11"/>
        <v>1.66</v>
      </c>
      <c r="J177" s="8">
        <f t="shared" si="12"/>
        <v>14.5</v>
      </c>
      <c r="K177" s="8">
        <f t="shared" si="13"/>
        <v>3.44</v>
      </c>
      <c r="L177" s="2" t="str">
        <f t="shared" si="14"/>
        <v>Solid Performer</v>
      </c>
    </row>
    <row r="178" spans="1:12" x14ac:dyDescent="0.3">
      <c r="A178" s="8" t="s">
        <v>194</v>
      </c>
      <c r="B178" s="8" t="s">
        <v>18</v>
      </c>
      <c r="C178" s="8">
        <v>6</v>
      </c>
      <c r="D178" s="8">
        <v>53</v>
      </c>
      <c r="E178" s="8">
        <v>48</v>
      </c>
      <c r="F178" s="8">
        <v>3.81</v>
      </c>
      <c r="G178" s="8">
        <v>50</v>
      </c>
      <c r="H178" s="8">
        <f t="shared" si="10"/>
        <v>90.57</v>
      </c>
      <c r="I178" s="8">
        <f t="shared" si="11"/>
        <v>1.04</v>
      </c>
      <c r="J178" s="8">
        <f t="shared" si="12"/>
        <v>8</v>
      </c>
      <c r="K178" s="8">
        <f t="shared" si="13"/>
        <v>3.45</v>
      </c>
      <c r="L178" s="2" t="str">
        <f t="shared" si="14"/>
        <v>Solid Performer</v>
      </c>
    </row>
    <row r="179" spans="1:12" x14ac:dyDescent="0.3">
      <c r="A179" s="8" t="s">
        <v>195</v>
      </c>
      <c r="B179" s="8" t="s">
        <v>24</v>
      </c>
      <c r="C179" s="8">
        <v>3</v>
      </c>
      <c r="D179" s="8">
        <v>45</v>
      </c>
      <c r="E179" s="8">
        <v>36</v>
      </c>
      <c r="F179" s="8">
        <v>3.6</v>
      </c>
      <c r="G179" s="8">
        <v>37</v>
      </c>
      <c r="H179" s="8">
        <f t="shared" si="10"/>
        <v>80</v>
      </c>
      <c r="I179" s="8">
        <f t="shared" si="11"/>
        <v>1.03</v>
      </c>
      <c r="J179" s="8">
        <f t="shared" si="12"/>
        <v>12</v>
      </c>
      <c r="K179" s="8">
        <f t="shared" si="13"/>
        <v>2.88</v>
      </c>
      <c r="L179" s="2" t="str">
        <f t="shared" si="14"/>
        <v>At Risk</v>
      </c>
    </row>
    <row r="180" spans="1:12" x14ac:dyDescent="0.3">
      <c r="A180" s="8" t="s">
        <v>196</v>
      </c>
      <c r="B180" s="8" t="s">
        <v>16</v>
      </c>
      <c r="C180" s="8">
        <v>3</v>
      </c>
      <c r="D180" s="8">
        <v>51</v>
      </c>
      <c r="E180" s="8">
        <v>39</v>
      </c>
      <c r="F180" s="8">
        <v>4.0999999999999996</v>
      </c>
      <c r="G180" s="8">
        <v>50</v>
      </c>
      <c r="H180" s="8">
        <f t="shared" si="10"/>
        <v>76.47</v>
      </c>
      <c r="I180" s="8">
        <f t="shared" si="11"/>
        <v>1.28</v>
      </c>
      <c r="J180" s="8">
        <f t="shared" si="12"/>
        <v>13</v>
      </c>
      <c r="K180" s="8">
        <f t="shared" si="13"/>
        <v>3.14</v>
      </c>
      <c r="L180" s="2" t="str">
        <f t="shared" si="14"/>
        <v>At Risk</v>
      </c>
    </row>
    <row r="181" spans="1:12" x14ac:dyDescent="0.3">
      <c r="A181" s="8" t="s">
        <v>197</v>
      </c>
      <c r="B181" s="8" t="s">
        <v>18</v>
      </c>
      <c r="C181" s="8">
        <v>6</v>
      </c>
      <c r="D181" s="8">
        <v>33</v>
      </c>
      <c r="E181" s="8">
        <v>23</v>
      </c>
      <c r="F181" s="8">
        <v>4.79</v>
      </c>
      <c r="G181" s="8">
        <v>56</v>
      </c>
      <c r="H181" s="8">
        <f t="shared" si="10"/>
        <v>69.7</v>
      </c>
      <c r="I181" s="8">
        <f t="shared" si="11"/>
        <v>2.4300000000000002</v>
      </c>
      <c r="J181" s="8">
        <f t="shared" si="12"/>
        <v>3.83</v>
      </c>
      <c r="K181" s="8">
        <f t="shared" si="13"/>
        <v>3.34</v>
      </c>
      <c r="L181" s="2" t="str">
        <f t="shared" si="14"/>
        <v>Solid Performer</v>
      </c>
    </row>
    <row r="182" spans="1:12" x14ac:dyDescent="0.3">
      <c r="A182" s="8" t="s">
        <v>198</v>
      </c>
      <c r="B182" s="8" t="s">
        <v>18</v>
      </c>
      <c r="C182" s="8">
        <v>5</v>
      </c>
      <c r="D182" s="8">
        <v>39</v>
      </c>
      <c r="E182" s="8">
        <v>35</v>
      </c>
      <c r="F182" s="8">
        <v>4.29</v>
      </c>
      <c r="G182" s="8">
        <v>50</v>
      </c>
      <c r="H182" s="8">
        <f t="shared" si="10"/>
        <v>89.74</v>
      </c>
      <c r="I182" s="8">
        <f t="shared" si="11"/>
        <v>1.43</v>
      </c>
      <c r="J182" s="8">
        <f t="shared" si="12"/>
        <v>7</v>
      </c>
      <c r="K182" s="8">
        <f t="shared" si="13"/>
        <v>3.85</v>
      </c>
      <c r="L182" s="2" t="str">
        <f t="shared" si="14"/>
        <v>Solid Performer</v>
      </c>
    </row>
    <row r="183" spans="1:12" x14ac:dyDescent="0.3">
      <c r="A183" s="8" t="s">
        <v>199</v>
      </c>
      <c r="B183" s="8" t="s">
        <v>14</v>
      </c>
      <c r="C183" s="8">
        <v>3</v>
      </c>
      <c r="D183" s="8">
        <v>47</v>
      </c>
      <c r="E183" s="8">
        <v>42</v>
      </c>
      <c r="F183" s="8">
        <v>4.1100000000000003</v>
      </c>
      <c r="G183" s="8">
        <v>50</v>
      </c>
      <c r="H183" s="8">
        <f t="shared" si="10"/>
        <v>89.36</v>
      </c>
      <c r="I183" s="8">
        <f t="shared" si="11"/>
        <v>1.19</v>
      </c>
      <c r="J183" s="8">
        <f t="shared" si="12"/>
        <v>14</v>
      </c>
      <c r="K183" s="8">
        <f t="shared" si="13"/>
        <v>3.67</v>
      </c>
      <c r="L183" s="2" t="str">
        <f t="shared" si="14"/>
        <v>Solid Performer</v>
      </c>
    </row>
    <row r="184" spans="1:12" x14ac:dyDescent="0.3">
      <c r="A184" s="8" t="s">
        <v>200</v>
      </c>
      <c r="B184" s="8" t="s">
        <v>18</v>
      </c>
      <c r="C184" s="8">
        <v>6</v>
      </c>
      <c r="D184" s="8">
        <v>37</v>
      </c>
      <c r="E184" s="8">
        <v>25</v>
      </c>
      <c r="F184" s="8">
        <v>4.7</v>
      </c>
      <c r="G184" s="8">
        <v>52</v>
      </c>
      <c r="H184" s="8">
        <f t="shared" si="10"/>
        <v>67.569999999999993</v>
      </c>
      <c r="I184" s="8">
        <f t="shared" si="11"/>
        <v>2.08</v>
      </c>
      <c r="J184" s="8">
        <f t="shared" si="12"/>
        <v>4.17</v>
      </c>
      <c r="K184" s="8">
        <f t="shared" si="13"/>
        <v>3.18</v>
      </c>
      <c r="L184" s="2" t="str">
        <f t="shared" si="14"/>
        <v>At Risk</v>
      </c>
    </row>
    <row r="185" spans="1:12" x14ac:dyDescent="0.3">
      <c r="A185" s="8" t="s">
        <v>201</v>
      </c>
      <c r="B185" s="8" t="s">
        <v>18</v>
      </c>
      <c r="C185" s="8">
        <v>4</v>
      </c>
      <c r="D185" s="8">
        <v>44</v>
      </c>
      <c r="E185" s="8">
        <v>38</v>
      </c>
      <c r="F185" s="8">
        <v>4.71</v>
      </c>
      <c r="G185" s="8">
        <v>57</v>
      </c>
      <c r="H185" s="8">
        <f t="shared" si="10"/>
        <v>86.36</v>
      </c>
      <c r="I185" s="8">
        <f t="shared" si="11"/>
        <v>1.5</v>
      </c>
      <c r="J185" s="8">
        <f t="shared" si="12"/>
        <v>9.5</v>
      </c>
      <c r="K185" s="8">
        <f t="shared" si="13"/>
        <v>4.07</v>
      </c>
      <c r="L185" s="2" t="str">
        <f t="shared" si="14"/>
        <v>Top Performer</v>
      </c>
    </row>
    <row r="186" spans="1:12" x14ac:dyDescent="0.3">
      <c r="A186" s="8" t="s">
        <v>202</v>
      </c>
      <c r="B186" s="8" t="s">
        <v>18</v>
      </c>
      <c r="C186" s="8">
        <v>4</v>
      </c>
      <c r="D186" s="8">
        <v>51</v>
      </c>
      <c r="E186" s="8">
        <v>36</v>
      </c>
      <c r="F186" s="8">
        <v>3.94</v>
      </c>
      <c r="G186" s="8">
        <v>51</v>
      </c>
      <c r="H186" s="8">
        <f t="shared" si="10"/>
        <v>70.59</v>
      </c>
      <c r="I186" s="8">
        <f t="shared" si="11"/>
        <v>1.42</v>
      </c>
      <c r="J186" s="8">
        <f t="shared" si="12"/>
        <v>9</v>
      </c>
      <c r="K186" s="8">
        <f t="shared" si="13"/>
        <v>2.78</v>
      </c>
      <c r="L186" s="2" t="str">
        <f t="shared" si="14"/>
        <v>At Risk</v>
      </c>
    </row>
    <row r="187" spans="1:12" x14ac:dyDescent="0.3">
      <c r="A187" s="8" t="s">
        <v>203</v>
      </c>
      <c r="B187" s="8" t="s">
        <v>16</v>
      </c>
      <c r="C187" s="8">
        <v>2</v>
      </c>
      <c r="D187" s="8">
        <v>30</v>
      </c>
      <c r="E187" s="8">
        <v>21</v>
      </c>
      <c r="F187" s="8">
        <v>3.54</v>
      </c>
      <c r="G187" s="8">
        <v>47</v>
      </c>
      <c r="H187" s="8">
        <f t="shared" si="10"/>
        <v>70</v>
      </c>
      <c r="I187" s="8">
        <f t="shared" si="11"/>
        <v>2.2400000000000002</v>
      </c>
      <c r="J187" s="8">
        <f t="shared" si="12"/>
        <v>10.5</v>
      </c>
      <c r="K187" s="8">
        <f t="shared" si="13"/>
        <v>2.48</v>
      </c>
      <c r="L187" s="2" t="str">
        <f t="shared" si="14"/>
        <v>At Risk</v>
      </c>
    </row>
    <row r="188" spans="1:12" x14ac:dyDescent="0.3">
      <c r="A188" s="8" t="s">
        <v>204</v>
      </c>
      <c r="B188" s="8" t="s">
        <v>14</v>
      </c>
      <c r="C188" s="8">
        <v>2</v>
      </c>
      <c r="D188" s="8">
        <v>47</v>
      </c>
      <c r="E188" s="8">
        <v>43</v>
      </c>
      <c r="F188" s="8">
        <v>4.7300000000000004</v>
      </c>
      <c r="G188" s="8">
        <v>45</v>
      </c>
      <c r="H188" s="8">
        <f t="shared" si="10"/>
        <v>91.49</v>
      </c>
      <c r="I188" s="8">
        <f t="shared" si="11"/>
        <v>1.05</v>
      </c>
      <c r="J188" s="8">
        <f t="shared" si="12"/>
        <v>21.5</v>
      </c>
      <c r="K188" s="8">
        <f t="shared" si="13"/>
        <v>4.33</v>
      </c>
      <c r="L188" s="2" t="str">
        <f t="shared" si="14"/>
        <v>Top Performer</v>
      </c>
    </row>
    <row r="189" spans="1:12" x14ac:dyDescent="0.3">
      <c r="A189" s="8" t="s">
        <v>205</v>
      </c>
      <c r="B189" s="8" t="s">
        <v>18</v>
      </c>
      <c r="C189" s="8">
        <v>5</v>
      </c>
      <c r="D189" s="8">
        <v>31</v>
      </c>
      <c r="E189" s="8">
        <v>23</v>
      </c>
      <c r="F189" s="8">
        <v>3.55</v>
      </c>
      <c r="G189" s="8">
        <v>53</v>
      </c>
      <c r="H189" s="8">
        <f t="shared" si="10"/>
        <v>74.19</v>
      </c>
      <c r="I189" s="8">
        <f t="shared" si="11"/>
        <v>2.2999999999999998</v>
      </c>
      <c r="J189" s="8">
        <f t="shared" si="12"/>
        <v>4.5999999999999996</v>
      </c>
      <c r="K189" s="8">
        <f t="shared" si="13"/>
        <v>2.63</v>
      </c>
      <c r="L189" s="2" t="str">
        <f t="shared" si="14"/>
        <v>At Risk</v>
      </c>
    </row>
    <row r="190" spans="1:12" x14ac:dyDescent="0.3">
      <c r="A190" s="8" t="s">
        <v>206</v>
      </c>
      <c r="B190" s="8" t="s">
        <v>24</v>
      </c>
      <c r="C190" s="8">
        <v>3</v>
      </c>
      <c r="D190" s="8">
        <v>35</v>
      </c>
      <c r="E190" s="8">
        <v>30</v>
      </c>
      <c r="F190" s="8">
        <v>4.04</v>
      </c>
      <c r="G190" s="8">
        <v>39</v>
      </c>
      <c r="H190" s="8">
        <f t="shared" si="10"/>
        <v>85.71</v>
      </c>
      <c r="I190" s="8">
        <f t="shared" si="11"/>
        <v>1.3</v>
      </c>
      <c r="J190" s="8">
        <f t="shared" si="12"/>
        <v>10</v>
      </c>
      <c r="K190" s="8">
        <f t="shared" si="13"/>
        <v>3.46</v>
      </c>
      <c r="L190" s="2" t="str">
        <f t="shared" si="14"/>
        <v>Solid Performer</v>
      </c>
    </row>
    <row r="191" spans="1:12" x14ac:dyDescent="0.3">
      <c r="A191" s="8" t="s">
        <v>207</v>
      </c>
      <c r="B191" s="8" t="s">
        <v>14</v>
      </c>
      <c r="C191" s="8">
        <v>2</v>
      </c>
      <c r="D191" s="8">
        <v>49</v>
      </c>
      <c r="E191" s="8">
        <v>46</v>
      </c>
      <c r="F191" s="8">
        <v>4.67</v>
      </c>
      <c r="G191" s="8">
        <v>42</v>
      </c>
      <c r="H191" s="8">
        <f t="shared" si="10"/>
        <v>93.88</v>
      </c>
      <c r="I191" s="8">
        <f t="shared" si="11"/>
        <v>0.91</v>
      </c>
      <c r="J191" s="8">
        <f t="shared" si="12"/>
        <v>23</v>
      </c>
      <c r="K191" s="8">
        <f t="shared" si="13"/>
        <v>4.38</v>
      </c>
      <c r="L191" s="2" t="str">
        <f t="shared" si="14"/>
        <v>Top Performer</v>
      </c>
    </row>
    <row r="192" spans="1:12" x14ac:dyDescent="0.3">
      <c r="A192" s="8" t="s">
        <v>208</v>
      </c>
      <c r="B192" s="8" t="s">
        <v>16</v>
      </c>
      <c r="C192" s="8">
        <v>3</v>
      </c>
      <c r="D192" s="8">
        <v>53</v>
      </c>
      <c r="E192" s="8">
        <v>50</v>
      </c>
      <c r="F192" s="8">
        <v>4.21</v>
      </c>
      <c r="G192" s="8">
        <v>45</v>
      </c>
      <c r="H192" s="8">
        <f t="shared" si="10"/>
        <v>94.34</v>
      </c>
      <c r="I192" s="8">
        <f t="shared" si="11"/>
        <v>0.9</v>
      </c>
      <c r="J192" s="8">
        <f t="shared" si="12"/>
        <v>16.670000000000002</v>
      </c>
      <c r="K192" s="8">
        <f t="shared" si="13"/>
        <v>3.97</v>
      </c>
      <c r="L192" s="2" t="str">
        <f t="shared" si="14"/>
        <v>Solid Performer</v>
      </c>
    </row>
    <row r="193" spans="1:12" x14ac:dyDescent="0.3">
      <c r="A193" s="8" t="s">
        <v>209</v>
      </c>
      <c r="B193" s="8" t="s">
        <v>16</v>
      </c>
      <c r="C193" s="8">
        <v>2</v>
      </c>
      <c r="D193" s="8">
        <v>46</v>
      </c>
      <c r="E193" s="8">
        <v>33</v>
      </c>
      <c r="F193" s="8">
        <v>4.3099999999999996</v>
      </c>
      <c r="G193" s="8">
        <v>53</v>
      </c>
      <c r="H193" s="8">
        <f t="shared" si="10"/>
        <v>71.739999999999995</v>
      </c>
      <c r="I193" s="8">
        <f t="shared" si="11"/>
        <v>1.61</v>
      </c>
      <c r="J193" s="8">
        <f t="shared" si="12"/>
        <v>16.5</v>
      </c>
      <c r="K193" s="8">
        <f t="shared" si="13"/>
        <v>3.09</v>
      </c>
      <c r="L193" s="2" t="str">
        <f t="shared" si="14"/>
        <v>At Risk</v>
      </c>
    </row>
    <row r="194" spans="1:12" x14ac:dyDescent="0.3">
      <c r="A194" s="8" t="s">
        <v>210</v>
      </c>
      <c r="B194" s="8" t="s">
        <v>21</v>
      </c>
      <c r="C194" s="8">
        <v>3</v>
      </c>
      <c r="D194" s="8">
        <v>51</v>
      </c>
      <c r="E194" s="8">
        <v>45</v>
      </c>
      <c r="F194" s="8">
        <v>4.9800000000000004</v>
      </c>
      <c r="G194" s="8">
        <v>49</v>
      </c>
      <c r="H194" s="8">
        <f t="shared" si="10"/>
        <v>88.24</v>
      </c>
      <c r="I194" s="8">
        <f t="shared" si="11"/>
        <v>1.0900000000000001</v>
      </c>
      <c r="J194" s="8">
        <f t="shared" si="12"/>
        <v>15</v>
      </c>
      <c r="K194" s="8">
        <f t="shared" si="13"/>
        <v>4.3899999999999997</v>
      </c>
      <c r="L194" s="2" t="str">
        <f t="shared" si="14"/>
        <v>Top Performer</v>
      </c>
    </row>
    <row r="195" spans="1:12" x14ac:dyDescent="0.3">
      <c r="A195" s="8" t="s">
        <v>211</v>
      </c>
      <c r="B195" s="8" t="s">
        <v>24</v>
      </c>
      <c r="C195" s="8">
        <v>3</v>
      </c>
      <c r="D195" s="8">
        <v>31</v>
      </c>
      <c r="E195" s="8">
        <v>22</v>
      </c>
      <c r="F195" s="8">
        <v>3.53</v>
      </c>
      <c r="G195" s="8">
        <v>36</v>
      </c>
      <c r="H195" s="8">
        <f t="shared" ref="H195:H201" si="15">ROUND(E195/D195*100,2)</f>
        <v>70.97</v>
      </c>
      <c r="I195" s="8">
        <f t="shared" ref="I195:I201" si="16">ROUND(G195/E195,2)</f>
        <v>1.64</v>
      </c>
      <c r="J195" s="8">
        <f t="shared" ref="J195:J201" si="17">ROUND(E195/C195,2)</f>
        <v>7.33</v>
      </c>
      <c r="K195" s="8">
        <f t="shared" ref="K195:K201" si="18">ROUND(F195*H195/100,2)</f>
        <v>2.5099999999999998</v>
      </c>
      <c r="L195" s="2" t="str">
        <f t="shared" ref="L195:L201" si="19">IF(K195&gt;4,"Top Performer",IF(K195&gt;=3.2,"Solid Performer","At Risk"))</f>
        <v>At Risk</v>
      </c>
    </row>
    <row r="196" spans="1:12" x14ac:dyDescent="0.3">
      <c r="A196" s="8" t="s">
        <v>212</v>
      </c>
      <c r="B196" s="8" t="s">
        <v>24</v>
      </c>
      <c r="C196" s="8">
        <v>4</v>
      </c>
      <c r="D196" s="8">
        <v>33</v>
      </c>
      <c r="E196" s="8">
        <v>26</v>
      </c>
      <c r="F196" s="8">
        <v>3.6</v>
      </c>
      <c r="G196" s="8">
        <v>39</v>
      </c>
      <c r="H196" s="8">
        <f t="shared" si="15"/>
        <v>78.790000000000006</v>
      </c>
      <c r="I196" s="8">
        <f t="shared" si="16"/>
        <v>1.5</v>
      </c>
      <c r="J196" s="8">
        <f t="shared" si="17"/>
        <v>6.5</v>
      </c>
      <c r="K196" s="8">
        <f t="shared" si="18"/>
        <v>2.84</v>
      </c>
      <c r="L196" s="2" t="str">
        <f t="shared" si="19"/>
        <v>At Risk</v>
      </c>
    </row>
    <row r="197" spans="1:12" x14ac:dyDescent="0.3">
      <c r="A197" s="8" t="s">
        <v>213</v>
      </c>
      <c r="B197" s="8" t="s">
        <v>21</v>
      </c>
      <c r="C197" s="8">
        <v>3</v>
      </c>
      <c r="D197" s="8">
        <v>41</v>
      </c>
      <c r="E197" s="8">
        <v>29</v>
      </c>
      <c r="F197" s="8">
        <v>3.52</v>
      </c>
      <c r="G197" s="8">
        <v>44</v>
      </c>
      <c r="H197" s="8">
        <f t="shared" si="15"/>
        <v>70.73</v>
      </c>
      <c r="I197" s="8">
        <f t="shared" si="16"/>
        <v>1.52</v>
      </c>
      <c r="J197" s="8">
        <f t="shared" si="17"/>
        <v>9.67</v>
      </c>
      <c r="K197" s="8">
        <f t="shared" si="18"/>
        <v>2.4900000000000002</v>
      </c>
      <c r="L197" s="2" t="str">
        <f t="shared" si="19"/>
        <v>At Risk</v>
      </c>
    </row>
    <row r="198" spans="1:12" x14ac:dyDescent="0.3">
      <c r="A198" s="8" t="s">
        <v>214</v>
      </c>
      <c r="B198" s="8" t="s">
        <v>18</v>
      </c>
      <c r="C198" s="8">
        <v>4</v>
      </c>
      <c r="D198" s="8">
        <v>35</v>
      </c>
      <c r="E198" s="8">
        <v>30</v>
      </c>
      <c r="F198" s="8">
        <v>3.88</v>
      </c>
      <c r="G198" s="8">
        <v>58</v>
      </c>
      <c r="H198" s="8">
        <f t="shared" si="15"/>
        <v>85.71</v>
      </c>
      <c r="I198" s="8">
        <f t="shared" si="16"/>
        <v>1.93</v>
      </c>
      <c r="J198" s="8">
        <f t="shared" si="17"/>
        <v>7.5</v>
      </c>
      <c r="K198" s="8">
        <f t="shared" si="18"/>
        <v>3.33</v>
      </c>
      <c r="L198" s="2" t="str">
        <f t="shared" si="19"/>
        <v>Solid Performer</v>
      </c>
    </row>
    <row r="199" spans="1:12" x14ac:dyDescent="0.3">
      <c r="A199" s="8" t="s">
        <v>215</v>
      </c>
      <c r="B199" s="8" t="s">
        <v>24</v>
      </c>
      <c r="C199" s="8">
        <v>3</v>
      </c>
      <c r="D199" s="8">
        <v>39</v>
      </c>
      <c r="E199" s="8">
        <v>36</v>
      </c>
      <c r="F199" s="8">
        <v>4.13</v>
      </c>
      <c r="G199" s="8">
        <v>44</v>
      </c>
      <c r="H199" s="8">
        <f t="shared" si="15"/>
        <v>92.31</v>
      </c>
      <c r="I199" s="8">
        <f t="shared" si="16"/>
        <v>1.22</v>
      </c>
      <c r="J199" s="8">
        <f t="shared" si="17"/>
        <v>12</v>
      </c>
      <c r="K199" s="8">
        <f t="shared" si="18"/>
        <v>3.81</v>
      </c>
      <c r="L199" s="2" t="str">
        <f t="shared" si="19"/>
        <v>Solid Performer</v>
      </c>
    </row>
    <row r="200" spans="1:12" x14ac:dyDescent="0.3">
      <c r="A200" s="8" t="s">
        <v>216</v>
      </c>
      <c r="B200" s="8" t="s">
        <v>16</v>
      </c>
      <c r="C200" s="8">
        <v>3</v>
      </c>
      <c r="D200" s="8">
        <v>51</v>
      </c>
      <c r="E200" s="8">
        <v>44</v>
      </c>
      <c r="F200" s="8">
        <v>3.62</v>
      </c>
      <c r="G200" s="8">
        <v>48</v>
      </c>
      <c r="H200" s="8">
        <f t="shared" si="15"/>
        <v>86.27</v>
      </c>
      <c r="I200" s="8">
        <f t="shared" si="16"/>
        <v>1.0900000000000001</v>
      </c>
      <c r="J200" s="8">
        <f t="shared" si="17"/>
        <v>14.67</v>
      </c>
      <c r="K200" s="8">
        <f t="shared" si="18"/>
        <v>3.12</v>
      </c>
      <c r="L200" s="2" t="str">
        <f t="shared" si="19"/>
        <v>At Risk</v>
      </c>
    </row>
    <row r="201" spans="1:12" x14ac:dyDescent="0.3">
      <c r="A201" s="8" t="s">
        <v>217</v>
      </c>
      <c r="B201" s="8" t="s">
        <v>18</v>
      </c>
      <c r="C201" s="8">
        <v>5</v>
      </c>
      <c r="D201" s="8">
        <v>50</v>
      </c>
      <c r="E201" s="8">
        <v>45</v>
      </c>
      <c r="F201" s="8">
        <v>4.16</v>
      </c>
      <c r="G201" s="8">
        <v>53</v>
      </c>
      <c r="H201" s="8">
        <f t="shared" si="15"/>
        <v>90</v>
      </c>
      <c r="I201" s="8">
        <f t="shared" si="16"/>
        <v>1.18</v>
      </c>
      <c r="J201" s="8">
        <f t="shared" si="17"/>
        <v>9</v>
      </c>
      <c r="K201" s="8">
        <f t="shared" si="18"/>
        <v>3.74</v>
      </c>
      <c r="L201" s="2" t="str">
        <f t="shared" si="19"/>
        <v>Solid Performer</v>
      </c>
    </row>
  </sheetData>
  <conditionalFormatting sqref="L1:L1048576">
    <cfRule type="cellIs" dxfId="2" priority="1" operator="equal">
      <formula>"Top Performer"</formula>
    </cfRule>
    <cfRule type="cellIs" dxfId="1" priority="2" operator="equal">
      <formula>"Solid Performer"</formula>
    </cfRule>
    <cfRule type="cellIs" dxfId="0" priority="3" operator="equal">
      <formula>"At Risk"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A63A-4095-4E7B-A4AC-D064418E59CF}">
  <dimension ref="A1:E6"/>
  <sheetViews>
    <sheetView workbookViewId="0">
      <selection activeCell="E13" sqref="E13"/>
    </sheetView>
  </sheetViews>
  <sheetFormatPr defaultRowHeight="14.4" x14ac:dyDescent="0.3"/>
  <cols>
    <col min="2" max="2" width="14.109375" customWidth="1"/>
  </cols>
  <sheetData>
    <row r="1" spans="1:5" ht="31.2" x14ac:dyDescent="0.3">
      <c r="A1" s="3" t="s">
        <v>1</v>
      </c>
      <c r="B1" s="3" t="s">
        <v>218</v>
      </c>
      <c r="C1" s="3" t="s">
        <v>219</v>
      </c>
      <c r="D1" s="3" t="s">
        <v>220</v>
      </c>
      <c r="E1" s="3" t="s">
        <v>221</v>
      </c>
    </row>
    <row r="2" spans="1:5" ht="28.8" x14ac:dyDescent="0.3">
      <c r="A2" s="4" t="s">
        <v>14</v>
      </c>
      <c r="B2" s="5" t="s">
        <v>222</v>
      </c>
      <c r="C2" s="5" t="s">
        <v>222</v>
      </c>
      <c r="D2" s="5" t="s">
        <v>223</v>
      </c>
      <c r="E2" s="6" t="s">
        <v>224</v>
      </c>
    </row>
    <row r="3" spans="1:5" ht="28.8" x14ac:dyDescent="0.3">
      <c r="A3" s="4" t="s">
        <v>16</v>
      </c>
      <c r="B3" s="5" t="s">
        <v>223</v>
      </c>
      <c r="C3" s="6" t="s">
        <v>222</v>
      </c>
      <c r="D3" s="5" t="s">
        <v>223</v>
      </c>
      <c r="E3" s="5" t="s">
        <v>223</v>
      </c>
    </row>
    <row r="4" spans="1:5" x14ac:dyDescent="0.3">
      <c r="A4" s="4" t="s">
        <v>21</v>
      </c>
      <c r="B4" s="5" t="s">
        <v>223</v>
      </c>
      <c r="C4" s="5" t="s">
        <v>223</v>
      </c>
      <c r="D4" s="5" t="s">
        <v>223</v>
      </c>
      <c r="E4" s="5" t="s">
        <v>223</v>
      </c>
    </row>
    <row r="5" spans="1:5" ht="28.8" x14ac:dyDescent="0.3">
      <c r="A5" s="4" t="s">
        <v>24</v>
      </c>
      <c r="B5" s="5" t="s">
        <v>225</v>
      </c>
      <c r="C5" s="5" t="s">
        <v>225</v>
      </c>
      <c r="D5" s="6" t="s">
        <v>226</v>
      </c>
      <c r="E5" s="5" t="s">
        <v>225</v>
      </c>
    </row>
    <row r="6" spans="1:5" ht="28.8" x14ac:dyDescent="0.3">
      <c r="A6" s="4" t="s">
        <v>18</v>
      </c>
      <c r="B6" s="6" t="s">
        <v>227</v>
      </c>
      <c r="C6" s="5" t="s">
        <v>228</v>
      </c>
      <c r="D6" s="6" t="s">
        <v>229</v>
      </c>
      <c r="E6" s="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Avg Cost per task</vt:lpstr>
      <vt:lpstr>Avg Productivity</vt:lpstr>
      <vt:lpstr>Avg Completion Rate</vt:lpstr>
      <vt:lpstr>AvgQualityIndex</vt:lpstr>
      <vt:lpstr>Data</vt:lpstr>
      <vt:lpstr>StrategicSummary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Sriranjani S</dc:creator>
  <cp:lastModifiedBy>Sriranjani S</cp:lastModifiedBy>
  <dcterms:created xsi:type="dcterms:W3CDTF">2026-03-09T14:39:19Z</dcterms:created>
  <dcterms:modified xsi:type="dcterms:W3CDTF">2026-03-09T15:49:10Z</dcterms:modified>
</cp:coreProperties>
</file>